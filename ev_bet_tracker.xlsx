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evin\Desktop\Polymarket EV Model\"/>
    </mc:Choice>
  </mc:AlternateContent>
  <xr:revisionPtr revIDLastSave="0" documentId="13_ncr:1_{66C5288A-FB25-4243-BF73-0295C41FCE5B}" xr6:coauthVersionLast="47" xr6:coauthVersionMax="47" xr10:uidLastSave="{00000000-0000-0000-0000-000000000000}"/>
  <bookViews>
    <workbookView xWindow="-110" yWindow="-110" windowWidth="25820" windowHeight="13900" tabRatio="500" activeTab="1" xr2:uid="{00000000-000D-0000-FFFF-FFFF00000000}"/>
  </bookViews>
  <sheets>
    <sheet name="Dashboard" sheetId="1" r:id="rId1"/>
    <sheet name="Bet Log" sheetId="2" r:id="rId2"/>
    <sheet name="Analytics" sheetId="3" r:id="rId3"/>
    <sheet name="Streak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01" i="4" l="1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A11" i="4"/>
  <c r="B10" i="4"/>
  <c r="B11" i="4" s="1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F20" i="3"/>
  <c r="D20" i="3"/>
  <c r="C20" i="3"/>
  <c r="F19" i="3"/>
  <c r="D19" i="3"/>
  <c r="C19" i="3"/>
  <c r="F18" i="3"/>
  <c r="D18" i="3"/>
  <c r="C18" i="3"/>
  <c r="G18" i="3" s="1"/>
  <c r="F17" i="3"/>
  <c r="D17" i="3"/>
  <c r="C17" i="3"/>
  <c r="G17" i="3" s="1"/>
  <c r="D11" i="3"/>
  <c r="D7" i="3"/>
  <c r="O501" i="2"/>
  <c r="N501" i="2"/>
  <c r="N500" i="2"/>
  <c r="O500" i="2" s="1"/>
  <c r="N499" i="2"/>
  <c r="O499" i="2" s="1"/>
  <c r="O498" i="2"/>
  <c r="N498" i="2"/>
  <c r="O497" i="2"/>
  <c r="N497" i="2"/>
  <c r="N496" i="2"/>
  <c r="O496" i="2" s="1"/>
  <c r="N495" i="2"/>
  <c r="O495" i="2" s="1"/>
  <c r="N494" i="2"/>
  <c r="O494" i="2" s="1"/>
  <c r="O493" i="2"/>
  <c r="N493" i="2"/>
  <c r="O492" i="2"/>
  <c r="N492" i="2"/>
  <c r="O491" i="2"/>
  <c r="N491" i="2"/>
  <c r="N490" i="2"/>
  <c r="O490" i="2" s="1"/>
  <c r="N489" i="2"/>
  <c r="O489" i="2" s="1"/>
  <c r="O488" i="2"/>
  <c r="N488" i="2"/>
  <c r="O487" i="2"/>
  <c r="N487" i="2"/>
  <c r="N486" i="2"/>
  <c r="O486" i="2" s="1"/>
  <c r="N485" i="2"/>
  <c r="O485" i="2" s="1"/>
  <c r="N484" i="2"/>
  <c r="O484" i="2" s="1"/>
  <c r="O483" i="2"/>
  <c r="N483" i="2"/>
  <c r="O482" i="2"/>
  <c r="N482" i="2"/>
  <c r="O481" i="2"/>
  <c r="N481" i="2"/>
  <c r="N480" i="2"/>
  <c r="O480" i="2" s="1"/>
  <c r="N479" i="2"/>
  <c r="O479" i="2" s="1"/>
  <c r="O478" i="2"/>
  <c r="N478" i="2"/>
  <c r="O477" i="2"/>
  <c r="N477" i="2"/>
  <c r="N476" i="2"/>
  <c r="O476" i="2" s="1"/>
  <c r="N475" i="2"/>
  <c r="O475" i="2" s="1"/>
  <c r="N474" i="2"/>
  <c r="O474" i="2" s="1"/>
  <c r="O473" i="2"/>
  <c r="N473" i="2"/>
  <c r="O472" i="2"/>
  <c r="N472" i="2"/>
  <c r="N471" i="2"/>
  <c r="O471" i="2" s="1"/>
  <c r="N470" i="2"/>
  <c r="O470" i="2" s="1"/>
  <c r="N469" i="2"/>
  <c r="O469" i="2" s="1"/>
  <c r="O468" i="2"/>
  <c r="N468" i="2"/>
  <c r="O467" i="2"/>
  <c r="N467" i="2"/>
  <c r="N466" i="2"/>
  <c r="O466" i="2" s="1"/>
  <c r="N465" i="2"/>
  <c r="O465" i="2" s="1"/>
  <c r="N464" i="2"/>
  <c r="O464" i="2" s="1"/>
  <c r="O463" i="2"/>
  <c r="N463" i="2"/>
  <c r="O462" i="2"/>
  <c r="N462" i="2"/>
  <c r="N461" i="2"/>
  <c r="O461" i="2" s="1"/>
  <c r="N460" i="2"/>
  <c r="O460" i="2" s="1"/>
  <c r="N459" i="2"/>
  <c r="O459" i="2" s="1"/>
  <c r="O458" i="2"/>
  <c r="N458" i="2"/>
  <c r="O457" i="2"/>
  <c r="N457" i="2"/>
  <c r="N456" i="2"/>
  <c r="O456" i="2" s="1"/>
  <c r="N455" i="2"/>
  <c r="O455" i="2" s="1"/>
  <c r="N454" i="2"/>
  <c r="O454" i="2" s="1"/>
  <c r="O453" i="2"/>
  <c r="N453" i="2"/>
  <c r="O452" i="2"/>
  <c r="N452" i="2"/>
  <c r="N451" i="2"/>
  <c r="O451" i="2" s="1"/>
  <c r="N450" i="2"/>
  <c r="O450" i="2" s="1"/>
  <c r="N449" i="2"/>
  <c r="O449" i="2" s="1"/>
  <c r="O448" i="2"/>
  <c r="N448" i="2"/>
  <c r="O447" i="2"/>
  <c r="N447" i="2"/>
  <c r="N446" i="2"/>
  <c r="O446" i="2" s="1"/>
  <c r="N445" i="2"/>
  <c r="O445" i="2" s="1"/>
  <c r="N444" i="2"/>
  <c r="O444" i="2" s="1"/>
  <c r="O443" i="2"/>
  <c r="N443" i="2"/>
  <c r="O442" i="2"/>
  <c r="N442" i="2"/>
  <c r="N441" i="2"/>
  <c r="O441" i="2" s="1"/>
  <c r="N440" i="2"/>
  <c r="O440" i="2" s="1"/>
  <c r="N439" i="2"/>
  <c r="O439" i="2" s="1"/>
  <c r="O438" i="2"/>
  <c r="N438" i="2"/>
  <c r="O437" i="2"/>
  <c r="N437" i="2"/>
  <c r="N436" i="2"/>
  <c r="O436" i="2" s="1"/>
  <c r="N435" i="2"/>
  <c r="O435" i="2" s="1"/>
  <c r="N434" i="2"/>
  <c r="O434" i="2" s="1"/>
  <c r="O433" i="2"/>
  <c r="N433" i="2"/>
  <c r="O432" i="2"/>
  <c r="N432" i="2"/>
  <c r="N431" i="2"/>
  <c r="O431" i="2" s="1"/>
  <c r="N430" i="2"/>
  <c r="O430" i="2" s="1"/>
  <c r="N429" i="2"/>
  <c r="O429" i="2" s="1"/>
  <c r="O428" i="2"/>
  <c r="N428" i="2"/>
  <c r="O427" i="2"/>
  <c r="N427" i="2"/>
  <c r="N426" i="2"/>
  <c r="O426" i="2" s="1"/>
  <c r="N425" i="2"/>
  <c r="O425" i="2" s="1"/>
  <c r="N424" i="2"/>
  <c r="O424" i="2" s="1"/>
  <c r="O423" i="2"/>
  <c r="N423" i="2"/>
  <c r="O422" i="2"/>
  <c r="N422" i="2"/>
  <c r="N421" i="2"/>
  <c r="O421" i="2" s="1"/>
  <c r="N420" i="2"/>
  <c r="O420" i="2" s="1"/>
  <c r="N419" i="2"/>
  <c r="O419" i="2" s="1"/>
  <c r="O418" i="2"/>
  <c r="N418" i="2"/>
  <c r="O417" i="2"/>
  <c r="N417" i="2"/>
  <c r="N416" i="2"/>
  <c r="O416" i="2" s="1"/>
  <c r="N415" i="2"/>
  <c r="O415" i="2" s="1"/>
  <c r="N414" i="2"/>
  <c r="O414" i="2" s="1"/>
  <c r="O413" i="2"/>
  <c r="N413" i="2"/>
  <c r="O412" i="2"/>
  <c r="N412" i="2"/>
  <c r="N411" i="2"/>
  <c r="O411" i="2" s="1"/>
  <c r="N410" i="2"/>
  <c r="O410" i="2" s="1"/>
  <c r="N409" i="2"/>
  <c r="O409" i="2" s="1"/>
  <c r="O408" i="2"/>
  <c r="N408" i="2"/>
  <c r="O407" i="2"/>
  <c r="N407" i="2"/>
  <c r="N406" i="2"/>
  <c r="O406" i="2" s="1"/>
  <c r="N405" i="2"/>
  <c r="O405" i="2" s="1"/>
  <c r="N404" i="2"/>
  <c r="O404" i="2" s="1"/>
  <c r="O403" i="2"/>
  <c r="N403" i="2"/>
  <c r="O402" i="2"/>
  <c r="N402" i="2"/>
  <c r="N401" i="2"/>
  <c r="O401" i="2" s="1"/>
  <c r="N400" i="2"/>
  <c r="O400" i="2" s="1"/>
  <c r="N399" i="2"/>
  <c r="O399" i="2" s="1"/>
  <c r="O398" i="2"/>
  <c r="N398" i="2"/>
  <c r="O397" i="2"/>
  <c r="N397" i="2"/>
  <c r="N396" i="2"/>
  <c r="O396" i="2" s="1"/>
  <c r="N395" i="2"/>
  <c r="O395" i="2" s="1"/>
  <c r="N394" i="2"/>
  <c r="O394" i="2" s="1"/>
  <c r="O393" i="2"/>
  <c r="N393" i="2"/>
  <c r="O392" i="2"/>
  <c r="N392" i="2"/>
  <c r="N391" i="2"/>
  <c r="O391" i="2" s="1"/>
  <c r="N390" i="2"/>
  <c r="O390" i="2" s="1"/>
  <c r="N389" i="2"/>
  <c r="O389" i="2" s="1"/>
  <c r="O388" i="2"/>
  <c r="N388" i="2"/>
  <c r="O387" i="2"/>
  <c r="N387" i="2"/>
  <c r="N386" i="2"/>
  <c r="O386" i="2" s="1"/>
  <c r="N385" i="2"/>
  <c r="O385" i="2" s="1"/>
  <c r="N384" i="2"/>
  <c r="O384" i="2" s="1"/>
  <c r="O383" i="2"/>
  <c r="N383" i="2"/>
  <c r="O382" i="2"/>
  <c r="N382" i="2"/>
  <c r="N381" i="2"/>
  <c r="O381" i="2" s="1"/>
  <c r="N380" i="2"/>
  <c r="O380" i="2" s="1"/>
  <c r="N379" i="2"/>
  <c r="O379" i="2" s="1"/>
  <c r="O378" i="2"/>
  <c r="N378" i="2"/>
  <c r="O377" i="2"/>
  <c r="N377" i="2"/>
  <c r="N376" i="2"/>
  <c r="O376" i="2" s="1"/>
  <c r="N375" i="2"/>
  <c r="O375" i="2" s="1"/>
  <c r="N374" i="2"/>
  <c r="O374" i="2" s="1"/>
  <c r="O373" i="2"/>
  <c r="N373" i="2"/>
  <c r="O372" i="2"/>
  <c r="N372" i="2"/>
  <c r="N371" i="2"/>
  <c r="O371" i="2" s="1"/>
  <c r="N370" i="2"/>
  <c r="O370" i="2" s="1"/>
  <c r="N369" i="2"/>
  <c r="O369" i="2" s="1"/>
  <c r="O368" i="2"/>
  <c r="N368" i="2"/>
  <c r="O367" i="2"/>
  <c r="N367" i="2"/>
  <c r="N366" i="2"/>
  <c r="O366" i="2" s="1"/>
  <c r="N365" i="2"/>
  <c r="O365" i="2" s="1"/>
  <c r="N364" i="2"/>
  <c r="O364" i="2" s="1"/>
  <c r="O363" i="2"/>
  <c r="N363" i="2"/>
  <c r="O362" i="2"/>
  <c r="N362" i="2"/>
  <c r="N361" i="2"/>
  <c r="O361" i="2" s="1"/>
  <c r="N360" i="2"/>
  <c r="O360" i="2" s="1"/>
  <c r="N359" i="2"/>
  <c r="O359" i="2" s="1"/>
  <c r="O358" i="2"/>
  <c r="N358" i="2"/>
  <c r="O357" i="2"/>
  <c r="N357" i="2"/>
  <c r="N356" i="2"/>
  <c r="O356" i="2" s="1"/>
  <c r="N355" i="2"/>
  <c r="O355" i="2" s="1"/>
  <c r="N354" i="2"/>
  <c r="O354" i="2" s="1"/>
  <c r="O353" i="2"/>
  <c r="N353" i="2"/>
  <c r="O352" i="2"/>
  <c r="N352" i="2"/>
  <c r="N351" i="2"/>
  <c r="O351" i="2" s="1"/>
  <c r="N350" i="2"/>
  <c r="O350" i="2" s="1"/>
  <c r="N349" i="2"/>
  <c r="O349" i="2" s="1"/>
  <c r="O348" i="2"/>
  <c r="N348" i="2"/>
  <c r="O347" i="2"/>
  <c r="N347" i="2"/>
  <c r="N346" i="2"/>
  <c r="O346" i="2" s="1"/>
  <c r="N345" i="2"/>
  <c r="O345" i="2" s="1"/>
  <c r="N344" i="2"/>
  <c r="O344" i="2" s="1"/>
  <c r="O343" i="2"/>
  <c r="N343" i="2"/>
  <c r="O342" i="2"/>
  <c r="N342" i="2"/>
  <c r="N341" i="2"/>
  <c r="O341" i="2" s="1"/>
  <c r="N340" i="2"/>
  <c r="O340" i="2" s="1"/>
  <c r="N339" i="2"/>
  <c r="O339" i="2" s="1"/>
  <c r="O338" i="2"/>
  <c r="N338" i="2"/>
  <c r="O337" i="2"/>
  <c r="N337" i="2"/>
  <c r="N336" i="2"/>
  <c r="O336" i="2" s="1"/>
  <c r="N335" i="2"/>
  <c r="O335" i="2" s="1"/>
  <c r="N334" i="2"/>
  <c r="O334" i="2" s="1"/>
  <c r="O333" i="2"/>
  <c r="N333" i="2"/>
  <c r="O332" i="2"/>
  <c r="N332" i="2"/>
  <c r="N331" i="2"/>
  <c r="O331" i="2" s="1"/>
  <c r="N330" i="2"/>
  <c r="O330" i="2" s="1"/>
  <c r="N329" i="2"/>
  <c r="O329" i="2" s="1"/>
  <c r="O328" i="2"/>
  <c r="N328" i="2"/>
  <c r="O327" i="2"/>
  <c r="N327" i="2"/>
  <c r="N326" i="2"/>
  <c r="O326" i="2" s="1"/>
  <c r="N325" i="2"/>
  <c r="O325" i="2" s="1"/>
  <c r="N324" i="2"/>
  <c r="O324" i="2" s="1"/>
  <c r="O323" i="2"/>
  <c r="N323" i="2"/>
  <c r="O322" i="2"/>
  <c r="N322" i="2"/>
  <c r="N321" i="2"/>
  <c r="O321" i="2" s="1"/>
  <c r="N320" i="2"/>
  <c r="O320" i="2" s="1"/>
  <c r="N319" i="2"/>
  <c r="O319" i="2" s="1"/>
  <c r="O318" i="2"/>
  <c r="N318" i="2"/>
  <c r="O317" i="2"/>
  <c r="N317" i="2"/>
  <c r="N316" i="2"/>
  <c r="O316" i="2" s="1"/>
  <c r="N315" i="2"/>
  <c r="O315" i="2" s="1"/>
  <c r="N314" i="2"/>
  <c r="O314" i="2" s="1"/>
  <c r="O313" i="2"/>
  <c r="N313" i="2"/>
  <c r="O312" i="2"/>
  <c r="N312" i="2"/>
  <c r="N311" i="2"/>
  <c r="O311" i="2" s="1"/>
  <c r="N310" i="2"/>
  <c r="O310" i="2" s="1"/>
  <c r="N309" i="2"/>
  <c r="O309" i="2" s="1"/>
  <c r="O308" i="2"/>
  <c r="N308" i="2"/>
  <c r="O307" i="2"/>
  <c r="N307" i="2"/>
  <c r="N306" i="2"/>
  <c r="O306" i="2" s="1"/>
  <c r="N305" i="2"/>
  <c r="O305" i="2" s="1"/>
  <c r="N304" i="2"/>
  <c r="O304" i="2" s="1"/>
  <c r="O303" i="2"/>
  <c r="N303" i="2"/>
  <c r="O302" i="2"/>
  <c r="N302" i="2"/>
  <c r="N301" i="2"/>
  <c r="O301" i="2" s="1"/>
  <c r="N300" i="2"/>
  <c r="O300" i="2" s="1"/>
  <c r="N299" i="2"/>
  <c r="O299" i="2" s="1"/>
  <c r="O298" i="2"/>
  <c r="N298" i="2"/>
  <c r="O297" i="2"/>
  <c r="N297" i="2"/>
  <c r="N296" i="2"/>
  <c r="O296" i="2" s="1"/>
  <c r="N295" i="2"/>
  <c r="O295" i="2" s="1"/>
  <c r="N294" i="2"/>
  <c r="O294" i="2" s="1"/>
  <c r="O293" i="2"/>
  <c r="N293" i="2"/>
  <c r="O292" i="2"/>
  <c r="N292" i="2"/>
  <c r="N291" i="2"/>
  <c r="O291" i="2" s="1"/>
  <c r="N290" i="2"/>
  <c r="O290" i="2" s="1"/>
  <c r="N289" i="2"/>
  <c r="O289" i="2" s="1"/>
  <c r="O288" i="2"/>
  <c r="N288" i="2"/>
  <c r="O287" i="2"/>
  <c r="N287" i="2"/>
  <c r="N286" i="2"/>
  <c r="O286" i="2" s="1"/>
  <c r="N285" i="2"/>
  <c r="O285" i="2" s="1"/>
  <c r="N284" i="2"/>
  <c r="O284" i="2" s="1"/>
  <c r="O283" i="2"/>
  <c r="N283" i="2"/>
  <c r="O282" i="2"/>
  <c r="N282" i="2"/>
  <c r="N281" i="2"/>
  <c r="O281" i="2" s="1"/>
  <c r="N280" i="2"/>
  <c r="O280" i="2" s="1"/>
  <c r="N279" i="2"/>
  <c r="O279" i="2" s="1"/>
  <c r="O278" i="2"/>
  <c r="N278" i="2"/>
  <c r="O277" i="2"/>
  <c r="N277" i="2"/>
  <c r="N276" i="2"/>
  <c r="O276" i="2" s="1"/>
  <c r="N275" i="2"/>
  <c r="O275" i="2" s="1"/>
  <c r="N274" i="2"/>
  <c r="O274" i="2" s="1"/>
  <c r="O273" i="2"/>
  <c r="N273" i="2"/>
  <c r="O272" i="2"/>
  <c r="N272" i="2"/>
  <c r="N271" i="2"/>
  <c r="O271" i="2" s="1"/>
  <c r="N270" i="2"/>
  <c r="O270" i="2" s="1"/>
  <c r="N269" i="2"/>
  <c r="O269" i="2" s="1"/>
  <c r="O268" i="2"/>
  <c r="N268" i="2"/>
  <c r="O267" i="2"/>
  <c r="N267" i="2"/>
  <c r="N266" i="2"/>
  <c r="O266" i="2" s="1"/>
  <c r="N265" i="2"/>
  <c r="O265" i="2" s="1"/>
  <c r="N264" i="2"/>
  <c r="O264" i="2" s="1"/>
  <c r="O263" i="2"/>
  <c r="N263" i="2"/>
  <c r="O262" i="2"/>
  <c r="N262" i="2"/>
  <c r="N261" i="2"/>
  <c r="O261" i="2" s="1"/>
  <c r="N260" i="2"/>
  <c r="O260" i="2" s="1"/>
  <c r="N259" i="2"/>
  <c r="O259" i="2" s="1"/>
  <c r="O258" i="2"/>
  <c r="N258" i="2"/>
  <c r="O257" i="2"/>
  <c r="N257" i="2"/>
  <c r="N256" i="2"/>
  <c r="O256" i="2" s="1"/>
  <c r="N255" i="2"/>
  <c r="O255" i="2" s="1"/>
  <c r="N254" i="2"/>
  <c r="O254" i="2" s="1"/>
  <c r="O253" i="2"/>
  <c r="N253" i="2"/>
  <c r="O252" i="2"/>
  <c r="N252" i="2"/>
  <c r="N251" i="2"/>
  <c r="O251" i="2" s="1"/>
  <c r="N250" i="2"/>
  <c r="O250" i="2" s="1"/>
  <c r="N249" i="2"/>
  <c r="O249" i="2" s="1"/>
  <c r="O248" i="2"/>
  <c r="N248" i="2"/>
  <c r="O247" i="2"/>
  <c r="N247" i="2"/>
  <c r="N246" i="2"/>
  <c r="O246" i="2" s="1"/>
  <c r="N245" i="2"/>
  <c r="O245" i="2" s="1"/>
  <c r="N244" i="2"/>
  <c r="O244" i="2" s="1"/>
  <c r="O243" i="2"/>
  <c r="N243" i="2"/>
  <c r="O242" i="2"/>
  <c r="N242" i="2"/>
  <c r="N241" i="2"/>
  <c r="O241" i="2" s="1"/>
  <c r="N240" i="2"/>
  <c r="O240" i="2" s="1"/>
  <c r="N239" i="2"/>
  <c r="O239" i="2" s="1"/>
  <c r="O238" i="2"/>
  <c r="N238" i="2"/>
  <c r="O237" i="2"/>
  <c r="N237" i="2"/>
  <c r="N236" i="2"/>
  <c r="O236" i="2" s="1"/>
  <c r="N235" i="2"/>
  <c r="O235" i="2" s="1"/>
  <c r="N234" i="2"/>
  <c r="O234" i="2" s="1"/>
  <c r="O233" i="2"/>
  <c r="N233" i="2"/>
  <c r="O232" i="2"/>
  <c r="N232" i="2"/>
  <c r="N231" i="2"/>
  <c r="O231" i="2" s="1"/>
  <c r="N230" i="2"/>
  <c r="O230" i="2" s="1"/>
  <c r="N229" i="2"/>
  <c r="O229" i="2" s="1"/>
  <c r="O228" i="2"/>
  <c r="N228" i="2"/>
  <c r="O227" i="2"/>
  <c r="N227" i="2"/>
  <c r="N226" i="2"/>
  <c r="O226" i="2" s="1"/>
  <c r="N225" i="2"/>
  <c r="O225" i="2" s="1"/>
  <c r="N224" i="2"/>
  <c r="O224" i="2" s="1"/>
  <c r="O223" i="2"/>
  <c r="N223" i="2"/>
  <c r="O222" i="2"/>
  <c r="N222" i="2"/>
  <c r="N221" i="2"/>
  <c r="O221" i="2" s="1"/>
  <c r="N220" i="2"/>
  <c r="O220" i="2" s="1"/>
  <c r="N219" i="2"/>
  <c r="O219" i="2" s="1"/>
  <c r="O218" i="2"/>
  <c r="N218" i="2"/>
  <c r="O217" i="2"/>
  <c r="N217" i="2"/>
  <c r="N216" i="2"/>
  <c r="O216" i="2" s="1"/>
  <c r="N215" i="2"/>
  <c r="O215" i="2" s="1"/>
  <c r="N214" i="2"/>
  <c r="O214" i="2" s="1"/>
  <c r="O213" i="2"/>
  <c r="N213" i="2"/>
  <c r="O212" i="2"/>
  <c r="N212" i="2"/>
  <c r="N211" i="2"/>
  <c r="O211" i="2" s="1"/>
  <c r="N210" i="2"/>
  <c r="O210" i="2" s="1"/>
  <c r="N209" i="2"/>
  <c r="O209" i="2" s="1"/>
  <c r="O208" i="2"/>
  <c r="N208" i="2"/>
  <c r="O207" i="2"/>
  <c r="N207" i="2"/>
  <c r="N206" i="2"/>
  <c r="O206" i="2" s="1"/>
  <c r="N205" i="2"/>
  <c r="O205" i="2" s="1"/>
  <c r="N204" i="2"/>
  <c r="O204" i="2" s="1"/>
  <c r="O203" i="2"/>
  <c r="N203" i="2"/>
  <c r="O202" i="2"/>
  <c r="N202" i="2"/>
  <c r="N201" i="2"/>
  <c r="O201" i="2" s="1"/>
  <c r="N200" i="2"/>
  <c r="O200" i="2" s="1"/>
  <c r="N199" i="2"/>
  <c r="O199" i="2" s="1"/>
  <c r="O198" i="2"/>
  <c r="N198" i="2"/>
  <c r="O197" i="2"/>
  <c r="N197" i="2"/>
  <c r="N196" i="2"/>
  <c r="O196" i="2" s="1"/>
  <c r="N195" i="2"/>
  <c r="O195" i="2" s="1"/>
  <c r="N194" i="2"/>
  <c r="O194" i="2" s="1"/>
  <c r="O193" i="2"/>
  <c r="N193" i="2"/>
  <c r="O192" i="2"/>
  <c r="N192" i="2"/>
  <c r="N191" i="2"/>
  <c r="O191" i="2" s="1"/>
  <c r="N190" i="2"/>
  <c r="O190" i="2" s="1"/>
  <c r="N189" i="2"/>
  <c r="O189" i="2" s="1"/>
  <c r="O188" i="2"/>
  <c r="N188" i="2"/>
  <c r="O187" i="2"/>
  <c r="N187" i="2"/>
  <c r="N186" i="2"/>
  <c r="O186" i="2" s="1"/>
  <c r="N185" i="2"/>
  <c r="O185" i="2" s="1"/>
  <c r="N184" i="2"/>
  <c r="O184" i="2" s="1"/>
  <c r="O183" i="2"/>
  <c r="N183" i="2"/>
  <c r="O182" i="2"/>
  <c r="N182" i="2"/>
  <c r="N181" i="2"/>
  <c r="O181" i="2" s="1"/>
  <c r="N180" i="2"/>
  <c r="O180" i="2" s="1"/>
  <c r="N179" i="2"/>
  <c r="O179" i="2" s="1"/>
  <c r="O178" i="2"/>
  <c r="N178" i="2"/>
  <c r="O177" i="2"/>
  <c r="N177" i="2"/>
  <c r="N176" i="2"/>
  <c r="O176" i="2" s="1"/>
  <c r="N175" i="2"/>
  <c r="O175" i="2" s="1"/>
  <c r="N174" i="2"/>
  <c r="O174" i="2" s="1"/>
  <c r="O173" i="2"/>
  <c r="N173" i="2"/>
  <c r="O172" i="2"/>
  <c r="N172" i="2"/>
  <c r="N171" i="2"/>
  <c r="O171" i="2" s="1"/>
  <c r="N170" i="2"/>
  <c r="O170" i="2" s="1"/>
  <c r="N169" i="2"/>
  <c r="O169" i="2" s="1"/>
  <c r="O168" i="2"/>
  <c r="N168" i="2"/>
  <c r="O167" i="2"/>
  <c r="N167" i="2"/>
  <c r="N166" i="2"/>
  <c r="O166" i="2" s="1"/>
  <c r="N165" i="2"/>
  <c r="O165" i="2" s="1"/>
  <c r="N164" i="2"/>
  <c r="O164" i="2" s="1"/>
  <c r="O163" i="2"/>
  <c r="N163" i="2"/>
  <c r="O162" i="2"/>
  <c r="N162" i="2"/>
  <c r="N161" i="2"/>
  <c r="O161" i="2" s="1"/>
  <c r="N160" i="2"/>
  <c r="O160" i="2" s="1"/>
  <c r="N159" i="2"/>
  <c r="O159" i="2" s="1"/>
  <c r="O158" i="2"/>
  <c r="N158" i="2"/>
  <c r="O157" i="2"/>
  <c r="N157" i="2"/>
  <c r="N156" i="2"/>
  <c r="O156" i="2" s="1"/>
  <c r="N155" i="2"/>
  <c r="O155" i="2" s="1"/>
  <c r="N154" i="2"/>
  <c r="O154" i="2" s="1"/>
  <c r="O153" i="2"/>
  <c r="N153" i="2"/>
  <c r="O152" i="2"/>
  <c r="N152" i="2"/>
  <c r="N151" i="2"/>
  <c r="O151" i="2" s="1"/>
  <c r="N150" i="2"/>
  <c r="O150" i="2" s="1"/>
  <c r="N149" i="2"/>
  <c r="O149" i="2" s="1"/>
  <c r="O148" i="2"/>
  <c r="N148" i="2"/>
  <c r="O147" i="2"/>
  <c r="N147" i="2"/>
  <c r="N146" i="2"/>
  <c r="O146" i="2" s="1"/>
  <c r="N145" i="2"/>
  <c r="O145" i="2" s="1"/>
  <c r="N144" i="2"/>
  <c r="O144" i="2" s="1"/>
  <c r="O143" i="2"/>
  <c r="N143" i="2"/>
  <c r="O142" i="2"/>
  <c r="N142" i="2"/>
  <c r="N141" i="2"/>
  <c r="O141" i="2" s="1"/>
  <c r="N140" i="2"/>
  <c r="O140" i="2" s="1"/>
  <c r="N139" i="2"/>
  <c r="O139" i="2" s="1"/>
  <c r="O138" i="2"/>
  <c r="N138" i="2"/>
  <c r="O137" i="2"/>
  <c r="N137" i="2"/>
  <c r="N136" i="2"/>
  <c r="O136" i="2" s="1"/>
  <c r="N135" i="2"/>
  <c r="O135" i="2" s="1"/>
  <c r="N134" i="2"/>
  <c r="O134" i="2" s="1"/>
  <c r="O133" i="2"/>
  <c r="N133" i="2"/>
  <c r="O132" i="2"/>
  <c r="N132" i="2"/>
  <c r="N131" i="2"/>
  <c r="O131" i="2" s="1"/>
  <c r="N130" i="2"/>
  <c r="O130" i="2" s="1"/>
  <c r="N129" i="2"/>
  <c r="O129" i="2" s="1"/>
  <c r="O128" i="2"/>
  <c r="N128" i="2"/>
  <c r="O127" i="2"/>
  <c r="N127" i="2"/>
  <c r="N126" i="2"/>
  <c r="O126" i="2" s="1"/>
  <c r="N125" i="2"/>
  <c r="O125" i="2" s="1"/>
  <c r="N124" i="2"/>
  <c r="O124" i="2" s="1"/>
  <c r="O123" i="2"/>
  <c r="N123" i="2"/>
  <c r="O122" i="2"/>
  <c r="N122" i="2"/>
  <c r="N121" i="2"/>
  <c r="O121" i="2" s="1"/>
  <c r="N120" i="2"/>
  <c r="O120" i="2" s="1"/>
  <c r="N119" i="2"/>
  <c r="O119" i="2" s="1"/>
  <c r="O118" i="2"/>
  <c r="N118" i="2"/>
  <c r="O117" i="2"/>
  <c r="N117" i="2"/>
  <c r="N116" i="2"/>
  <c r="O116" i="2" s="1"/>
  <c r="N115" i="2"/>
  <c r="O115" i="2" s="1"/>
  <c r="N114" i="2"/>
  <c r="O114" i="2" s="1"/>
  <c r="O113" i="2"/>
  <c r="N113" i="2"/>
  <c r="O112" i="2"/>
  <c r="N112" i="2"/>
  <c r="N111" i="2"/>
  <c r="O111" i="2" s="1"/>
  <c r="N110" i="2"/>
  <c r="O110" i="2" s="1"/>
  <c r="N109" i="2"/>
  <c r="O109" i="2" s="1"/>
  <c r="O108" i="2"/>
  <c r="N108" i="2"/>
  <c r="O107" i="2"/>
  <c r="N107" i="2"/>
  <c r="N106" i="2"/>
  <c r="O106" i="2" s="1"/>
  <c r="N105" i="2"/>
  <c r="O105" i="2" s="1"/>
  <c r="N104" i="2"/>
  <c r="O104" i="2" s="1"/>
  <c r="O103" i="2"/>
  <c r="N103" i="2"/>
  <c r="O102" i="2"/>
  <c r="N102" i="2"/>
  <c r="N101" i="2"/>
  <c r="O101" i="2" s="1"/>
  <c r="N100" i="2"/>
  <c r="O100" i="2" s="1"/>
  <c r="N99" i="2"/>
  <c r="O99" i="2" s="1"/>
  <c r="O98" i="2"/>
  <c r="N98" i="2"/>
  <c r="O97" i="2"/>
  <c r="N97" i="2"/>
  <c r="N96" i="2"/>
  <c r="O96" i="2" s="1"/>
  <c r="N95" i="2"/>
  <c r="O95" i="2" s="1"/>
  <c r="N94" i="2"/>
  <c r="O94" i="2" s="1"/>
  <c r="O93" i="2"/>
  <c r="N93" i="2"/>
  <c r="O92" i="2"/>
  <c r="N92" i="2"/>
  <c r="N91" i="2"/>
  <c r="O91" i="2" s="1"/>
  <c r="N90" i="2"/>
  <c r="O90" i="2" s="1"/>
  <c r="N89" i="2"/>
  <c r="O89" i="2" s="1"/>
  <c r="O88" i="2"/>
  <c r="N88" i="2"/>
  <c r="O87" i="2"/>
  <c r="N87" i="2"/>
  <c r="N86" i="2"/>
  <c r="O86" i="2" s="1"/>
  <c r="N85" i="2"/>
  <c r="O85" i="2" s="1"/>
  <c r="N84" i="2"/>
  <c r="O84" i="2" s="1"/>
  <c r="O83" i="2"/>
  <c r="N83" i="2"/>
  <c r="O82" i="2"/>
  <c r="N82" i="2"/>
  <c r="N81" i="2"/>
  <c r="O81" i="2" s="1"/>
  <c r="N80" i="2"/>
  <c r="O80" i="2" s="1"/>
  <c r="N79" i="2"/>
  <c r="O79" i="2" s="1"/>
  <c r="O78" i="2"/>
  <c r="N78" i="2"/>
  <c r="O77" i="2"/>
  <c r="N77" i="2"/>
  <c r="N76" i="2"/>
  <c r="O76" i="2" s="1"/>
  <c r="N75" i="2"/>
  <c r="O75" i="2" s="1"/>
  <c r="N74" i="2"/>
  <c r="O74" i="2" s="1"/>
  <c r="O73" i="2"/>
  <c r="N73" i="2"/>
  <c r="O72" i="2"/>
  <c r="N72" i="2"/>
  <c r="N71" i="2"/>
  <c r="O71" i="2" s="1"/>
  <c r="N70" i="2"/>
  <c r="O70" i="2" s="1"/>
  <c r="N69" i="2"/>
  <c r="O69" i="2" s="1"/>
  <c r="O68" i="2"/>
  <c r="N68" i="2"/>
  <c r="O67" i="2"/>
  <c r="N67" i="2"/>
  <c r="N66" i="2"/>
  <c r="O66" i="2" s="1"/>
  <c r="N65" i="2"/>
  <c r="O65" i="2" s="1"/>
  <c r="N64" i="2"/>
  <c r="O64" i="2" s="1"/>
  <c r="O63" i="2"/>
  <c r="N63" i="2"/>
  <c r="O62" i="2"/>
  <c r="N62" i="2"/>
  <c r="N61" i="2"/>
  <c r="O61" i="2" s="1"/>
  <c r="N60" i="2"/>
  <c r="O60" i="2" s="1"/>
  <c r="N59" i="2"/>
  <c r="O59" i="2" s="1"/>
  <c r="O58" i="2"/>
  <c r="N58" i="2"/>
  <c r="O57" i="2"/>
  <c r="N57" i="2"/>
  <c r="N56" i="2"/>
  <c r="O56" i="2" s="1"/>
  <c r="N55" i="2"/>
  <c r="O55" i="2" s="1"/>
  <c r="N54" i="2"/>
  <c r="O54" i="2" s="1"/>
  <c r="O53" i="2"/>
  <c r="N53" i="2"/>
  <c r="O52" i="2"/>
  <c r="N52" i="2"/>
  <c r="N51" i="2"/>
  <c r="O51" i="2" s="1"/>
  <c r="N50" i="2"/>
  <c r="O50" i="2" s="1"/>
  <c r="N49" i="2"/>
  <c r="O49" i="2" s="1"/>
  <c r="O48" i="2"/>
  <c r="N48" i="2"/>
  <c r="O47" i="2"/>
  <c r="N47" i="2"/>
  <c r="N46" i="2"/>
  <c r="O46" i="2" s="1"/>
  <c r="N45" i="2"/>
  <c r="O45" i="2" s="1"/>
  <c r="N44" i="2"/>
  <c r="O44" i="2" s="1"/>
  <c r="O43" i="2"/>
  <c r="N43" i="2"/>
  <c r="O42" i="2"/>
  <c r="N42" i="2"/>
  <c r="N41" i="2"/>
  <c r="O41" i="2" s="1"/>
  <c r="N40" i="2"/>
  <c r="O40" i="2" s="1"/>
  <c r="N39" i="2"/>
  <c r="O39" i="2" s="1"/>
  <c r="O38" i="2"/>
  <c r="N38" i="2"/>
  <c r="O37" i="2"/>
  <c r="N37" i="2"/>
  <c r="N36" i="2"/>
  <c r="O36" i="2" s="1"/>
  <c r="N35" i="2"/>
  <c r="O35" i="2" s="1"/>
  <c r="N34" i="2"/>
  <c r="O34" i="2" s="1"/>
  <c r="O33" i="2"/>
  <c r="N33" i="2"/>
  <c r="O32" i="2"/>
  <c r="N32" i="2"/>
  <c r="N31" i="2"/>
  <c r="O31" i="2" s="1"/>
  <c r="N30" i="2"/>
  <c r="O30" i="2" s="1"/>
  <c r="N29" i="2"/>
  <c r="O29" i="2" s="1"/>
  <c r="O28" i="2"/>
  <c r="N28" i="2"/>
  <c r="O27" i="2"/>
  <c r="N27" i="2"/>
  <c r="N26" i="2"/>
  <c r="O26" i="2" s="1"/>
  <c r="N25" i="2"/>
  <c r="O25" i="2" s="1"/>
  <c r="N24" i="2"/>
  <c r="O24" i="2" s="1"/>
  <c r="O23" i="2"/>
  <c r="N23" i="2"/>
  <c r="O22" i="2"/>
  <c r="N22" i="2"/>
  <c r="N21" i="2"/>
  <c r="O21" i="2" s="1"/>
  <c r="N20" i="2"/>
  <c r="O20" i="2" s="1"/>
  <c r="N19" i="2"/>
  <c r="J19" i="1" s="1"/>
  <c r="K19" i="1" s="1"/>
  <c r="N18" i="2"/>
  <c r="O18" i="2" s="1"/>
  <c r="N17" i="2"/>
  <c r="O17" i="2" s="1"/>
  <c r="N16" i="2"/>
  <c r="O16" i="2" s="1"/>
  <c r="N15" i="2"/>
  <c r="O15" i="2" s="1"/>
  <c r="N14" i="2"/>
  <c r="O14" i="2" s="1"/>
  <c r="N13" i="2"/>
  <c r="N12" i="2"/>
  <c r="N11" i="2"/>
  <c r="N10" i="2"/>
  <c r="O10" i="2" s="1"/>
  <c r="N9" i="2"/>
  <c r="O9" i="2" s="1"/>
  <c r="N8" i="2"/>
  <c r="N7" i="2"/>
  <c r="O7" i="2" s="1"/>
  <c r="N6" i="2"/>
  <c r="O6" i="2" s="1"/>
  <c r="N5" i="2"/>
  <c r="O5" i="2" s="1"/>
  <c r="N4" i="2"/>
  <c r="O4" i="2" s="1"/>
  <c r="O2" i="2"/>
  <c r="O3" i="2" s="1"/>
  <c r="D25" i="1"/>
  <c r="C25" i="1"/>
  <c r="E25" i="1" s="1"/>
  <c r="D24" i="1"/>
  <c r="C24" i="1"/>
  <c r="E24" i="1" s="1"/>
  <c r="D23" i="1"/>
  <c r="C23" i="1"/>
  <c r="E23" i="1" s="1"/>
  <c r="J22" i="1"/>
  <c r="K22" i="1" s="1"/>
  <c r="H22" i="1"/>
  <c r="G22" i="1"/>
  <c r="D22" i="1"/>
  <c r="C22" i="1"/>
  <c r="E22" i="1" s="1"/>
  <c r="J21" i="1"/>
  <c r="K21" i="1" s="1"/>
  <c r="H21" i="1"/>
  <c r="G21" i="1"/>
  <c r="I21" i="1" s="1"/>
  <c r="D21" i="1"/>
  <c r="C21" i="1"/>
  <c r="E21" i="1" s="1"/>
  <c r="J20" i="1"/>
  <c r="K20" i="1" s="1"/>
  <c r="H20" i="1"/>
  <c r="G20" i="1"/>
  <c r="I20" i="1" s="1"/>
  <c r="D20" i="1"/>
  <c r="C20" i="1"/>
  <c r="H19" i="1"/>
  <c r="G19" i="1"/>
  <c r="I19" i="1" s="1"/>
  <c r="D19" i="1"/>
  <c r="C19" i="1"/>
  <c r="H14" i="1"/>
  <c r="G14" i="1"/>
  <c r="I14" i="1" s="1"/>
  <c r="H13" i="1"/>
  <c r="G13" i="1"/>
  <c r="I13" i="1" s="1"/>
  <c r="H12" i="1"/>
  <c r="G12" i="1"/>
  <c r="I12" i="1" s="1"/>
  <c r="H11" i="1"/>
  <c r="G11" i="1"/>
  <c r="I11" i="1" s="1"/>
  <c r="D11" i="1"/>
  <c r="D13" i="1" s="1"/>
  <c r="H10" i="1"/>
  <c r="G10" i="1"/>
  <c r="I10" i="1" s="1"/>
  <c r="H9" i="1"/>
  <c r="G9" i="1"/>
  <c r="I9" i="1" s="1"/>
  <c r="H8" i="1"/>
  <c r="G8" i="1"/>
  <c r="I8" i="1" s="1"/>
  <c r="H7" i="1"/>
  <c r="G7" i="1"/>
  <c r="J9" i="1" l="1"/>
  <c r="K9" i="1" s="1"/>
  <c r="E20" i="1"/>
  <c r="J8" i="1"/>
  <c r="K8" i="1" s="1"/>
  <c r="J10" i="1"/>
  <c r="K10" i="1" s="1"/>
  <c r="O13" i="2"/>
  <c r="J13" i="1"/>
  <c r="K13" i="1" s="1"/>
  <c r="J12" i="1"/>
  <c r="K12" i="1" s="1"/>
  <c r="O12" i="2"/>
  <c r="O11" i="2"/>
  <c r="E19" i="1"/>
  <c r="J11" i="1"/>
  <c r="K11" i="1" s="1"/>
  <c r="D8" i="1"/>
  <c r="D9" i="1" s="1"/>
  <c r="D10" i="3" s="1"/>
  <c r="J7" i="1"/>
  <c r="K7" i="1" s="1"/>
  <c r="O8" i="2"/>
  <c r="D6" i="3"/>
  <c r="I7" i="1"/>
  <c r="D12" i="1"/>
  <c r="I22" i="1"/>
  <c r="D5" i="3"/>
  <c r="D14" i="1"/>
  <c r="E17" i="3"/>
  <c r="O19" i="2"/>
  <c r="E18" i="3"/>
  <c r="J14" i="1"/>
  <c r="K14" i="1" s="1"/>
  <c r="D9" i="3"/>
  <c r="E19" i="3"/>
  <c r="G19" i="3" s="1"/>
  <c r="D8" i="3"/>
  <c r="E20" i="3"/>
  <c r="G20" i="3" s="1"/>
  <c r="D10" i="1" l="1"/>
  <c r="D12" i="3"/>
</calcChain>
</file>

<file path=xl/sharedStrings.xml><?xml version="1.0" encoding="utf-8"?>
<sst xmlns="http://schemas.openxmlformats.org/spreadsheetml/2006/main" count="232" uniqueCount="125">
  <si>
    <t>SYSTEMICFLOWS — EV BET TRACKER</t>
  </si>
  <si>
    <t>Track, analyze, and optimize your +EV betting performance</t>
  </si>
  <si>
    <t>BANKROLL CONFIG</t>
  </si>
  <si>
    <t>BY SPORT</t>
  </si>
  <si>
    <t>Sport</t>
  </si>
  <si>
    <t>Bets</t>
  </si>
  <si>
    <t>Wins</t>
  </si>
  <si>
    <t>Win%</t>
  </si>
  <si>
    <t>P/L</t>
  </si>
  <si>
    <t>ROI%</t>
  </si>
  <si>
    <t>Starting Bankroll</t>
  </si>
  <si>
    <t>NBA</t>
  </si>
  <si>
    <t>Current Bankroll</t>
  </si>
  <si>
    <t>NCAAB</t>
  </si>
  <si>
    <t>Total Profit/Loss</t>
  </si>
  <si>
    <t>NHL</t>
  </si>
  <si>
    <t>ROI %</t>
  </si>
  <si>
    <t>MLB</t>
  </si>
  <si>
    <t>Total Bets</t>
  </si>
  <si>
    <t>NFL</t>
  </si>
  <si>
    <t>Win Rate</t>
  </si>
  <si>
    <t>NCAAF</t>
  </si>
  <si>
    <t>Avg EV%</t>
  </si>
  <si>
    <t>WNBA</t>
  </si>
  <si>
    <t>CLV+%</t>
  </si>
  <si>
    <t>Tennis</t>
  </si>
  <si>
    <t>BY GRADE</t>
  </si>
  <si>
    <t>BY BET TYPE</t>
  </si>
  <si>
    <t>Grade</t>
  </si>
  <si>
    <t>A+</t>
  </si>
  <si>
    <t>ML</t>
  </si>
  <si>
    <t>A</t>
  </si>
  <si>
    <t>Spread</t>
  </si>
  <si>
    <t>B+</t>
  </si>
  <si>
    <t>Total</t>
  </si>
  <si>
    <t>B</t>
  </si>
  <si>
    <t>Prop</t>
  </si>
  <si>
    <t>C+</t>
  </si>
  <si>
    <t>C</t>
  </si>
  <si>
    <t>D</t>
  </si>
  <si>
    <t>Date</t>
  </si>
  <si>
    <t>Game</t>
  </si>
  <si>
    <t>Player</t>
  </si>
  <si>
    <t>Selection</t>
  </si>
  <si>
    <t>Bet Type</t>
  </si>
  <si>
    <t>Line</t>
  </si>
  <si>
    <t>Odds</t>
  </si>
  <si>
    <t>Model EV%</t>
  </si>
  <si>
    <t>Stake</t>
  </si>
  <si>
    <t>Book</t>
  </si>
  <si>
    <t>Result</t>
  </si>
  <si>
    <t>Cumulative P/L</t>
  </si>
  <si>
    <t>CLV%</t>
  </si>
  <si>
    <t>Notes</t>
  </si>
  <si>
    <t>PERFORMANCE ANALYTICS</t>
  </si>
  <si>
    <t>KEY METRICS</t>
  </si>
  <si>
    <t>Longest Win Streak</t>
  </si>
  <si>
    <t>Longest Loss Streak</t>
  </si>
  <si>
    <t>Avg Stake</t>
  </si>
  <si>
    <t>Biggest Win</t>
  </si>
  <si>
    <t>Biggest Loss</t>
  </si>
  <si>
    <t>Avg P/L per Bet</t>
  </si>
  <si>
    <t>Total Wagered</t>
  </si>
  <si>
    <t>Units Won</t>
  </si>
  <si>
    <t>EV ACCURACY — Does your actual win rate match expected?</t>
  </si>
  <si>
    <t>EV Range</t>
  </si>
  <si>
    <t>Actual Win%</t>
  </si>
  <si>
    <t>Expected Win%</t>
  </si>
  <si>
    <t>Diff</t>
  </si>
  <si>
    <t>0-2%</t>
  </si>
  <si>
    <t>2-5%</t>
  </si>
  <si>
    <t>5-10%</t>
  </si>
  <si>
    <t>10%+</t>
  </si>
  <si>
    <t>Win Streak</t>
  </si>
  <si>
    <t>Loss Streak</t>
  </si>
  <si>
    <t>ORL @ PHX</t>
  </si>
  <si>
    <t xml:space="preserve">Desmond Bane </t>
  </si>
  <si>
    <t>D.Bane o4.5 3pt M</t>
  </si>
  <si>
    <t>DraftKings</t>
  </si>
  <si>
    <t>Live Bet</t>
  </si>
  <si>
    <t xml:space="preserve">NBA </t>
  </si>
  <si>
    <t>MIA @ MEM</t>
  </si>
  <si>
    <t xml:space="preserve">Ty Jerome </t>
  </si>
  <si>
    <t>W</t>
  </si>
  <si>
    <t>Andrew Wiggins</t>
  </si>
  <si>
    <t>A.Wiggins u2.5 ast</t>
  </si>
  <si>
    <t>Ty Jerome u17.5 pts</t>
  </si>
  <si>
    <t xml:space="preserve">Prop </t>
  </si>
  <si>
    <t>L</t>
  </si>
  <si>
    <t>CLE @ OKC</t>
  </si>
  <si>
    <t>Chet Holmgren</t>
  </si>
  <si>
    <t>C.Holmgren o0.5 3pt M</t>
  </si>
  <si>
    <t>Aaron Wiggins</t>
  </si>
  <si>
    <t>A.Wiggins u13.5 pts</t>
  </si>
  <si>
    <t>Isiah Joe</t>
  </si>
  <si>
    <t>I.Joe u13.5 pts</t>
  </si>
  <si>
    <t>Isiiah Hartenstien</t>
  </si>
  <si>
    <t>I.Hartenstein o12.5 rebs+ast</t>
  </si>
  <si>
    <t xml:space="preserve">James Hrden </t>
  </si>
  <si>
    <t>J.Harden o17.5 pts</t>
  </si>
  <si>
    <t>DEN @ GSW</t>
  </si>
  <si>
    <t>Tim Hardaway Jr</t>
  </si>
  <si>
    <t>T.Hardway o2.5 3pt</t>
  </si>
  <si>
    <t>Jamal Murray</t>
  </si>
  <si>
    <t xml:space="preserve">J.Murray o5.5 ast </t>
  </si>
  <si>
    <t>Brandon Podziemski</t>
  </si>
  <si>
    <t>B.Podziemski o1.5 3pt</t>
  </si>
  <si>
    <t>DAL @ IND</t>
  </si>
  <si>
    <t>Klay Thompson</t>
  </si>
  <si>
    <t>K.Thompson o2.5 3pt</t>
  </si>
  <si>
    <t>BOS @ LAL</t>
  </si>
  <si>
    <t>Luka Donic</t>
  </si>
  <si>
    <t>L.Donic o4.5 3pt</t>
  </si>
  <si>
    <t>PHI @ MIN</t>
  </si>
  <si>
    <t>Donte DiVincenzo</t>
  </si>
  <si>
    <t>D.Vincenzo o3.5 3pt</t>
  </si>
  <si>
    <t>NYK @ CHI</t>
  </si>
  <si>
    <t xml:space="preserve">Josh Hart </t>
  </si>
  <si>
    <t>J.Hart o6.5 ast</t>
  </si>
  <si>
    <t>Guerschon Yabusele</t>
  </si>
  <si>
    <t>G.Yabusele o11.5 reb</t>
  </si>
  <si>
    <t>SAS @ DET</t>
  </si>
  <si>
    <t>Dylan Harper</t>
  </si>
  <si>
    <t>D.Harper o10.5 points</t>
  </si>
  <si>
    <t>Pre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</si>
</sst>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$#,##0"/>
    <numFmt numFmtId="165" formatCode="0.0%"/>
    <numFmt numFmtId="166" formatCode="\$#,##0.00;&quot;($&quot;#,##0.00\);\-"/>
    <numFmt numFmtId="167" formatCode="\$#,##0.00"/>
    <numFmt numFmtId="168" formatCode="mm/dd/yyyy"/>
    <numFmt numFmtId="169" formatCode="\+#,##0;\-#,##0"/>
    <numFmt numFmtId="170" formatCode="\+0.0%;\-0.0%"/>
    <numFmt numFmtId="171" formatCode="m/d/yy;@"/>
  </numFmts>
  <fonts count="19" x14ac:knownFonts="1">
    <font>
      <sz val="11"/>
      <color theme="1"/>
      <name val="Calibri"/>
      <family val="2"/>
      <charset val="1"/>
    </font>
    <font>
      <b/>
      <sz val="16"/>
      <color rgb="FF00E5FF"/>
      <name val="Arial"/>
      <charset val="1"/>
    </font>
    <font>
      <sz val="11"/>
      <color rgb="FF8A8AA8"/>
      <name val="Arial"/>
      <charset val="1"/>
    </font>
    <font>
      <b/>
      <sz val="12"/>
      <color rgb="FFFFD740"/>
      <name val="Arial"/>
      <charset val="1"/>
    </font>
    <font>
      <b/>
      <sz val="11"/>
      <color rgb="FFEDEDF4"/>
      <name val="Arial"/>
      <charset val="1"/>
    </font>
    <font>
      <b/>
      <sz val="14"/>
      <color rgb="FF0000FF"/>
      <name val="Arial"/>
      <charset val="1"/>
    </font>
    <font>
      <sz val="11"/>
      <color rgb="FFEDEDF4"/>
      <name val="Arial"/>
      <charset val="1"/>
    </font>
    <font>
      <b/>
      <sz val="14"/>
      <color rgb="FF00E676"/>
      <name val="Arial"/>
      <charset val="1"/>
    </font>
    <font>
      <b/>
      <sz val="14"/>
      <color rgb="FFEDEDF4"/>
      <name val="Arial"/>
      <charset val="1"/>
    </font>
    <font>
      <b/>
      <sz val="14"/>
      <color rgb="FF00E5FF"/>
      <name val="Arial"/>
      <charset val="1"/>
    </font>
    <font>
      <b/>
      <sz val="14"/>
      <color rgb="FFFFD740"/>
      <name val="Arial"/>
      <charset val="1"/>
    </font>
    <font>
      <sz val="11"/>
      <color rgb="FF0000FF"/>
      <name val="Arial"/>
      <charset val="1"/>
    </font>
    <font>
      <b/>
      <sz val="13"/>
      <color rgb="FFEDEDF4"/>
      <name val="Arial"/>
      <charset val="1"/>
    </font>
    <font>
      <sz val="11"/>
      <color theme="0" tint="-4.9989318521683403E-2"/>
      <name val="Arial"/>
      <family val="2"/>
    </font>
    <font>
      <sz val="11"/>
      <color rgb="FF0000FF"/>
      <name val="Arial"/>
      <family val="2"/>
    </font>
    <font>
      <sz val="11"/>
      <color theme="0" tint="-4.9989318521683403E-2"/>
      <name val="Calibri"/>
      <family val="2"/>
      <charset val="1"/>
    </font>
    <font>
      <sz val="11"/>
      <color theme="0"/>
      <name val="Arial"/>
      <family val="2"/>
    </font>
    <font>
      <sz val="11"/>
      <color rgb="FF00B0F0"/>
      <name val="Arial"/>
      <family val="2"/>
    </font>
    <font>
      <sz val="11"/>
      <color rgb="FF92D05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A0A0F"/>
        <bgColor rgb="FF111118"/>
      </patternFill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111118"/>
        <bgColor rgb="FF0A0A0F"/>
      </patternFill>
    </fill>
  </fills>
  <borders count="2">
    <border>
      <left/>
      <right/>
      <top/>
      <bottom/>
      <diagonal/>
    </border>
    <border>
      <left style="thin">
        <color rgb="FF4E4E6A"/>
      </left>
      <right style="thin">
        <color rgb="FF4E4E6A"/>
      </right>
      <top style="thin">
        <color rgb="FF4E4E6A"/>
      </top>
      <bottom style="thin">
        <color rgb="FF4E4E6A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/>
    <xf numFmtId="0" fontId="6" fillId="5" borderId="1" xfId="0" applyFont="1" applyFill="1" applyBorder="1"/>
    <xf numFmtId="165" fontId="6" fillId="5" borderId="1" xfId="0" applyNumberFormat="1" applyFont="1" applyFill="1" applyBorder="1"/>
    <xf numFmtId="166" fontId="6" fillId="5" borderId="1" xfId="0" applyNumberFormat="1" applyFont="1" applyFill="1" applyBorder="1"/>
    <xf numFmtId="167" fontId="7" fillId="5" borderId="1" xfId="0" applyNumberFormat="1" applyFont="1" applyFill="1" applyBorder="1"/>
    <xf numFmtId="166" fontId="8" fillId="5" borderId="1" xfId="0" applyNumberFormat="1" applyFont="1" applyFill="1" applyBorder="1"/>
    <xf numFmtId="165" fontId="8" fillId="5" borderId="1" xfId="0" applyNumberFormat="1" applyFont="1" applyFill="1" applyBorder="1"/>
    <xf numFmtId="0" fontId="9" fillId="5" borderId="1" xfId="0" applyFont="1" applyFill="1" applyBorder="1"/>
    <xf numFmtId="165" fontId="7" fillId="5" borderId="1" xfId="0" applyNumberFormat="1" applyFont="1" applyFill="1" applyBorder="1"/>
    <xf numFmtId="165" fontId="10" fillId="5" borderId="1" xfId="0" applyNumberFormat="1" applyFont="1" applyFill="1" applyBorder="1"/>
    <xf numFmtId="0" fontId="4" fillId="5" borderId="1" xfId="0" applyFont="1" applyFill="1" applyBorder="1"/>
    <xf numFmtId="0" fontId="11" fillId="4" borderId="1" xfId="0" applyFont="1" applyFill="1" applyBorder="1"/>
    <xf numFmtId="165" fontId="11" fillId="4" borderId="1" xfId="0" applyNumberFormat="1" applyFont="1" applyFill="1" applyBorder="1"/>
    <xf numFmtId="166" fontId="12" fillId="5" borderId="1" xfId="0" applyNumberFormat="1" applyFont="1" applyFill="1" applyBorder="1"/>
    <xf numFmtId="0" fontId="12" fillId="5" borderId="1" xfId="0" applyFont="1" applyFill="1" applyBorder="1"/>
    <xf numFmtId="170" fontId="6" fillId="5" borderId="1" xfId="0" applyNumberFormat="1" applyFont="1" applyFill="1" applyBorder="1"/>
    <xf numFmtId="0" fontId="4" fillId="0" borderId="0" xfId="0" applyFont="1"/>
    <xf numFmtId="171" fontId="13" fillId="4" borderId="1" xfId="0" applyNumberFormat="1" applyFont="1" applyFill="1" applyBorder="1"/>
    <xf numFmtId="0" fontId="14" fillId="4" borderId="1" xfId="0" applyFont="1" applyFill="1" applyBorder="1"/>
    <xf numFmtId="0" fontId="13" fillId="4" borderId="1" xfId="0" applyFont="1" applyFill="1" applyBorder="1"/>
    <xf numFmtId="169" fontId="13" fillId="4" borderId="1" xfId="0" applyNumberFormat="1" applyFont="1" applyFill="1" applyBorder="1"/>
    <xf numFmtId="165" fontId="13" fillId="4" borderId="1" xfId="0" applyNumberFormat="1" applyFont="1" applyFill="1" applyBorder="1"/>
    <xf numFmtId="167" fontId="13" fillId="4" borderId="1" xfId="0" applyNumberFormat="1" applyFont="1" applyFill="1" applyBorder="1"/>
    <xf numFmtId="168" fontId="13" fillId="4" borderId="1" xfId="0" applyNumberFormat="1" applyFont="1" applyFill="1" applyBorder="1"/>
    <xf numFmtId="0" fontId="15" fillId="0" borderId="0" xfId="0" applyFont="1"/>
    <xf numFmtId="0" fontId="16" fillId="4" borderId="1" xfId="0" applyFont="1" applyFill="1" applyBorder="1"/>
    <xf numFmtId="0" fontId="17" fillId="4" borderId="1" xfId="0" applyFont="1" applyFill="1" applyBorder="1"/>
    <xf numFmtId="0" fontId="18" fillId="4" borderId="1" xfId="0" applyFont="1" applyFill="1" applyBorder="1"/>
  </cellXfs>
  <cellStyles count="1">
    <cellStyle name="Normal" xfId="0" builtinId="0"/>
  </cellStyles>
  <dxfs count="4">
    <dxf>
      <font>
        <b/>
        <color rgb="FFFF5252"/>
      </font>
      <fill>
        <patternFill>
          <bgColor rgb="FF525212"/>
        </patternFill>
      </fill>
    </dxf>
    <dxf>
      <font>
        <b/>
        <color rgb="FF00E676"/>
      </font>
      <fill>
        <patternFill>
          <bgColor rgb="FFE67612"/>
        </patternFill>
      </fill>
    </dxf>
    <dxf>
      <font>
        <b/>
        <color rgb="FFFF5252"/>
      </font>
    </dxf>
    <dxf>
      <font>
        <b/>
        <color rgb="FF00E676"/>
      </font>
    </dxf>
  </dxfs>
  <tableStyles count="0" defaultTableStyle="TableStyleMedium2" defaultPivotStyle="PivotStyleLight16"/>
  <colors>
    <indexedColors>
      <rgbColor rgb="FF000000"/>
      <rgbColor rgb="FFEDEDF4"/>
      <rgbColor rgb="FFFF0000"/>
      <rgbColor rgb="FF00E676"/>
      <rgbColor rgb="FF0000FF"/>
      <rgbColor rgb="FFFFFF00"/>
      <rgbColor rgb="FFD500F9"/>
      <rgbColor rgb="FF00FFFF"/>
      <rgbColor rgb="FF800000"/>
      <rgbColor rgb="FF008000"/>
      <rgbColor rgb="FF0A0A0F"/>
      <rgbColor rgb="FF525212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5252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E5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40"/>
      <rgbColor rgb="FFFF9900"/>
      <rgbColor rgb="FFE67612"/>
      <rgbColor rgb="FF4E4E6A"/>
      <rgbColor rgb="FF8A8AA8"/>
      <rgbColor rgb="FF003366"/>
      <rgbColor rgb="FF339966"/>
      <rgbColor rgb="FF111118"/>
      <rgbColor rgb="FF1A1A2E"/>
      <rgbColor rgb="FF993300"/>
      <rgbColor rgb="FF993366"/>
      <rgbColor rgb="FF333399"/>
      <rgbColor rgb="FF1621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E5FF"/>
  </sheetPr>
  <dimension ref="A1:O39"/>
  <sheetViews>
    <sheetView zoomScaleNormal="100" workbookViewId="0"/>
  </sheetViews>
  <sheetFormatPr defaultColWidth="8.6328125" defaultRowHeight="14.5" x14ac:dyDescent="0.35"/>
  <cols>
    <col min="1" max="1" width="2" customWidth="1"/>
    <col min="2" max="2" width="20" customWidth="1"/>
    <col min="3" max="3" width="10" customWidth="1"/>
    <col min="4" max="4" width="16" customWidth="1"/>
    <col min="5" max="5" width="10" customWidth="1"/>
    <col min="6" max="6" width="12" customWidth="1"/>
    <col min="7" max="9" width="10" customWidth="1"/>
    <col min="10" max="10" width="14" customWidth="1"/>
    <col min="11" max="11" width="10" customWidth="1"/>
  </cols>
  <sheetData>
    <row r="1" spans="1:15" ht="1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9.5" customHeight="1" x14ac:dyDescent="0.4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35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5" customHeight="1" x14ac:dyDescent="0.35">
      <c r="A5" s="1"/>
      <c r="B5" s="4" t="s">
        <v>2</v>
      </c>
      <c r="C5" s="1"/>
      <c r="D5" s="1"/>
      <c r="E5" s="1"/>
      <c r="F5" s="4" t="s">
        <v>3</v>
      </c>
      <c r="G5" s="1"/>
      <c r="H5" s="1"/>
      <c r="I5" s="1"/>
      <c r="J5" s="1"/>
      <c r="K5" s="1"/>
      <c r="L5" s="1"/>
      <c r="M5" s="1"/>
      <c r="N5" s="1"/>
      <c r="O5" s="1"/>
    </row>
    <row r="6" spans="1:15" ht="15" customHeight="1" x14ac:dyDescent="0.35">
      <c r="A6" s="1"/>
      <c r="B6" s="1"/>
      <c r="C6" s="1"/>
      <c r="D6" s="1"/>
      <c r="E6" s="1"/>
      <c r="F6" s="5" t="s">
        <v>4</v>
      </c>
      <c r="G6" s="5" t="s">
        <v>5</v>
      </c>
      <c r="H6" s="5" t="s">
        <v>6</v>
      </c>
      <c r="I6" s="5" t="s">
        <v>7</v>
      </c>
      <c r="J6" s="5" t="s">
        <v>8</v>
      </c>
      <c r="K6" s="5" t="s">
        <v>9</v>
      </c>
      <c r="L6" s="1"/>
      <c r="M6" s="1"/>
      <c r="N6" s="1"/>
      <c r="O6" s="1"/>
    </row>
    <row r="7" spans="1:15" ht="17.25" customHeight="1" x14ac:dyDescent="0.4">
      <c r="A7" s="1"/>
      <c r="B7" s="3" t="s">
        <v>10</v>
      </c>
      <c r="C7" s="1"/>
      <c r="D7" s="6">
        <v>2000</v>
      </c>
      <c r="E7" s="1"/>
      <c r="F7" s="7" t="s">
        <v>11</v>
      </c>
      <c r="G7" s="7">
        <f>COUNTIF('Bet Log'!B2:B1000,"NBA")</f>
        <v>9</v>
      </c>
      <c r="H7" s="7">
        <f>COUNTIFS('Bet Log'!B2:B1000,"NBA",'Bet Log'!M2:M1000,"W")</f>
        <v>5</v>
      </c>
      <c r="I7" s="8">
        <f t="shared" ref="I7:I14" si="0">IF(G7=0,"-",H7/G7)</f>
        <v>0.55555555555555558</v>
      </c>
      <c r="J7" s="9" t="e">
        <f>SUMPRODUCT(('Bet Log'!B2:B1000="NBA")*IF('Bet Log'!N2:N1000&lt;&gt;"",'Bet Log'!N2:N1000,0))</f>
        <v>#VALUE!</v>
      </c>
      <c r="K7" s="8">
        <f>IFERROR(J7/SUMPRODUCT(('Bet Log'!B2:B1000="NBA")*IF('Bet Log'!K2:K1000&lt;&gt;"",'Bet Log'!K2:K1000,0)),0)</f>
        <v>0</v>
      </c>
      <c r="L7" s="1"/>
      <c r="M7" s="1"/>
      <c r="N7" s="1"/>
      <c r="O7" s="1"/>
    </row>
    <row r="8" spans="1:15" ht="17.25" customHeight="1" x14ac:dyDescent="0.4">
      <c r="A8" s="1"/>
      <c r="B8" s="3" t="s">
        <v>12</v>
      </c>
      <c r="C8" s="1"/>
      <c r="D8" s="10">
        <f>D7+SUMPRODUCT(IF('Bet Log'!N2:N1000&lt;&gt;"",'Bet Log'!N2:N1000,0))</f>
        <v>2360.9807188979767</v>
      </c>
      <c r="E8" s="1"/>
      <c r="F8" s="7" t="s">
        <v>13</v>
      </c>
      <c r="G8" s="7">
        <f>COUNTIF('Bet Log'!B2:B1000,"NCAAB")</f>
        <v>0</v>
      </c>
      <c r="H8" s="7">
        <f>COUNTIFS('Bet Log'!B2:B1000,"NCAAB",'Bet Log'!M2:M1000,"W")</f>
        <v>0</v>
      </c>
      <c r="I8" s="8" t="str">
        <f t="shared" si="0"/>
        <v>-</v>
      </c>
      <c r="J8" s="9" t="e">
        <f>SUMPRODUCT(('Bet Log'!B2:B1000="NCAAB")*IF('Bet Log'!N2:N1000&lt;&gt;"",'Bet Log'!N2:N1000,0))</f>
        <v>#VALUE!</v>
      </c>
      <c r="K8" s="8">
        <f>IFERROR(J8/SUMPRODUCT(('Bet Log'!B2:B1000="NCAAB")*IF('Bet Log'!K2:K1000&lt;&gt;"",'Bet Log'!K2:K1000,0)),0)</f>
        <v>0</v>
      </c>
      <c r="L8" s="1"/>
      <c r="M8" s="1"/>
      <c r="N8" s="1"/>
      <c r="O8" s="1"/>
    </row>
    <row r="9" spans="1:15" ht="17.25" customHeight="1" x14ac:dyDescent="0.4">
      <c r="A9" s="1"/>
      <c r="B9" s="3" t="s">
        <v>14</v>
      </c>
      <c r="C9" s="1"/>
      <c r="D9" s="11">
        <f>D8-D7</f>
        <v>360.98071889797666</v>
      </c>
      <c r="E9" s="1"/>
      <c r="F9" s="7" t="s">
        <v>15</v>
      </c>
      <c r="G9" s="7">
        <f>COUNTIF('Bet Log'!B2:B1000,"NHL")</f>
        <v>0</v>
      </c>
      <c r="H9" s="7">
        <f>COUNTIFS('Bet Log'!B2:B1000,"NHL",'Bet Log'!M2:M1000,"W")</f>
        <v>0</v>
      </c>
      <c r="I9" s="8" t="str">
        <f t="shared" si="0"/>
        <v>-</v>
      </c>
      <c r="J9" s="9" t="e">
        <f>SUMPRODUCT(('Bet Log'!B2:B1000="NHL")*IF('Bet Log'!N2:N1000&lt;&gt;"",'Bet Log'!N2:N1000,0))</f>
        <v>#VALUE!</v>
      </c>
      <c r="K9" s="8">
        <f>IFERROR(J9/SUMPRODUCT(('Bet Log'!B2:B1000="NHL")*IF('Bet Log'!K2:K1000&lt;&gt;"",'Bet Log'!K2:K1000,0)),0)</f>
        <v>0</v>
      </c>
      <c r="L9" s="1"/>
      <c r="M9" s="1"/>
      <c r="N9" s="1"/>
      <c r="O9" s="1"/>
    </row>
    <row r="10" spans="1:15" ht="17.25" customHeight="1" x14ac:dyDescent="0.4">
      <c r="A10" s="1"/>
      <c r="B10" s="3" t="s">
        <v>16</v>
      </c>
      <c r="C10" s="1"/>
      <c r="D10" s="12">
        <f>IF(D7=0,0,D9/D7)</f>
        <v>0.18049035944898834</v>
      </c>
      <c r="E10" s="1"/>
      <c r="F10" s="7" t="s">
        <v>17</v>
      </c>
      <c r="G10" s="7">
        <f>COUNTIF('Bet Log'!B2:B1000,"MLB")</f>
        <v>0</v>
      </c>
      <c r="H10" s="7">
        <f>COUNTIFS('Bet Log'!B2:B1000,"MLB",'Bet Log'!M2:M1000,"W")</f>
        <v>0</v>
      </c>
      <c r="I10" s="8" t="str">
        <f t="shared" si="0"/>
        <v>-</v>
      </c>
      <c r="J10" s="9" t="e">
        <f>SUMPRODUCT(('Bet Log'!B2:B1000="MLB")*IF('Bet Log'!N2:N1000&lt;&gt;"",'Bet Log'!N2:N1000,0))</f>
        <v>#VALUE!</v>
      </c>
      <c r="K10" s="8">
        <f>IFERROR(J10/SUMPRODUCT(('Bet Log'!B2:B1000="MLB")*IF('Bet Log'!K2:K1000&lt;&gt;"",'Bet Log'!K2:K1000,0)),0)</f>
        <v>0</v>
      </c>
      <c r="L10" s="1"/>
      <c r="M10" s="1"/>
      <c r="N10" s="1"/>
      <c r="O10" s="1"/>
    </row>
    <row r="11" spans="1:15" ht="17.25" customHeight="1" x14ac:dyDescent="0.4">
      <c r="A11" s="1"/>
      <c r="B11" s="3" t="s">
        <v>18</v>
      </c>
      <c r="C11" s="1"/>
      <c r="D11" s="13">
        <f>COUNTA('Bet Log'!A2:A1000)</f>
        <v>17</v>
      </c>
      <c r="E11" s="1"/>
      <c r="F11" s="7" t="s">
        <v>19</v>
      </c>
      <c r="G11" s="7">
        <f>COUNTIF('Bet Log'!B2:B1000,"NFL")</f>
        <v>0</v>
      </c>
      <c r="H11" s="7">
        <f>COUNTIFS('Bet Log'!B2:B1000,"NFL",'Bet Log'!M2:M1000,"W")</f>
        <v>0</v>
      </c>
      <c r="I11" s="8" t="str">
        <f t="shared" si="0"/>
        <v>-</v>
      </c>
      <c r="J11" s="9" t="e">
        <f>SUMPRODUCT(('Bet Log'!B2:B1000="NFL")*IF('Bet Log'!N2:N1000&lt;&gt;"",'Bet Log'!N2:N1000,0))</f>
        <v>#VALUE!</v>
      </c>
      <c r="K11" s="8">
        <f>IFERROR(J11/SUMPRODUCT(('Bet Log'!B2:B1000="NFL")*IF('Bet Log'!K2:K1000&lt;&gt;"",'Bet Log'!K2:K1000,0)),0)</f>
        <v>0</v>
      </c>
      <c r="L11" s="1"/>
      <c r="M11" s="1"/>
      <c r="N11" s="1"/>
      <c r="O11" s="1"/>
    </row>
    <row r="12" spans="1:15" ht="17.25" customHeight="1" x14ac:dyDescent="0.4">
      <c r="A12" s="1"/>
      <c r="B12" s="3" t="s">
        <v>20</v>
      </c>
      <c r="C12" s="1"/>
      <c r="D12" s="12">
        <f>IF(D11=0,"-",COUNTIF('Bet Log'!M2:M1000,"W")/D11)</f>
        <v>0.47058823529411764</v>
      </c>
      <c r="E12" s="1"/>
      <c r="F12" s="7" t="s">
        <v>21</v>
      </c>
      <c r="G12" s="7">
        <f>COUNTIF('Bet Log'!B2:B1000,"NCAAF")</f>
        <v>0</v>
      </c>
      <c r="H12" s="7">
        <f>COUNTIFS('Bet Log'!B2:B1000,"NCAAF",'Bet Log'!M2:M1000,"W")</f>
        <v>0</v>
      </c>
      <c r="I12" s="8" t="str">
        <f t="shared" si="0"/>
        <v>-</v>
      </c>
      <c r="J12" s="9" t="e">
        <f>SUMPRODUCT(('Bet Log'!B2:B1000="NCAAF")*IF('Bet Log'!N2:N1000&lt;&gt;"",'Bet Log'!N2:N1000,0))</f>
        <v>#VALUE!</v>
      </c>
      <c r="K12" s="8">
        <f>IFERROR(J12/SUMPRODUCT(('Bet Log'!B2:B1000="NCAAF")*IF('Bet Log'!K2:K1000&lt;&gt;"",'Bet Log'!K2:K1000,0)),0)</f>
        <v>0</v>
      </c>
      <c r="L12" s="1"/>
      <c r="M12" s="1"/>
      <c r="N12" s="1"/>
      <c r="O12" s="1"/>
    </row>
    <row r="13" spans="1:15" ht="17.25" customHeight="1" x14ac:dyDescent="0.4">
      <c r="A13" s="1"/>
      <c r="B13" s="3" t="s">
        <v>22</v>
      </c>
      <c r="C13" s="1"/>
      <c r="D13" s="14">
        <f>IF(D11=0,"-",AVERAGE('Bet Log'!I2:I1000))</f>
        <v>0.22662500000000002</v>
      </c>
      <c r="E13" s="1"/>
      <c r="F13" s="7" t="s">
        <v>23</v>
      </c>
      <c r="G13" s="7">
        <f>COUNTIF('Bet Log'!B2:B1000,"WNBA")</f>
        <v>0</v>
      </c>
      <c r="H13" s="7">
        <f>COUNTIFS('Bet Log'!B2:B1000,"WNBA",'Bet Log'!M2:M1000,"W")</f>
        <v>0</v>
      </c>
      <c r="I13" s="8" t="str">
        <f t="shared" si="0"/>
        <v>-</v>
      </c>
      <c r="J13" s="9" t="e">
        <f>SUMPRODUCT(('Bet Log'!B2:B1000="WNBA")*IF('Bet Log'!N2:N1000&lt;&gt;"",'Bet Log'!N2:N1000,0))</f>
        <v>#VALUE!</v>
      </c>
      <c r="K13" s="8">
        <f>IFERROR(J13/SUMPRODUCT(('Bet Log'!B2:B1000="WNBA")*IF('Bet Log'!K2:K1000&lt;&gt;"",'Bet Log'!K2:K1000,0)),0)</f>
        <v>0</v>
      </c>
      <c r="L13" s="1"/>
      <c r="M13" s="1"/>
      <c r="N13" s="1"/>
      <c r="O13" s="1"/>
    </row>
    <row r="14" spans="1:15" ht="17.25" customHeight="1" x14ac:dyDescent="0.4">
      <c r="A14" s="1"/>
      <c r="B14" s="3" t="s">
        <v>24</v>
      </c>
      <c r="C14" s="1"/>
      <c r="D14" s="15" t="e">
        <f>IF(D11=0,"-",AVERAGE('Bet Log'!P2:P1000))</f>
        <v>#DIV/0!</v>
      </c>
      <c r="E14" s="1"/>
      <c r="F14" s="7" t="s">
        <v>25</v>
      </c>
      <c r="G14" s="7">
        <f>COUNTIF('Bet Log'!B2:B1000,"Tennis")</f>
        <v>0</v>
      </c>
      <c r="H14" s="7">
        <f>COUNTIFS('Bet Log'!B2:B1000,"Tennis",'Bet Log'!M2:M1000,"W")</f>
        <v>0</v>
      </c>
      <c r="I14" s="8" t="str">
        <f t="shared" si="0"/>
        <v>-</v>
      </c>
      <c r="J14" s="9" t="e">
        <f>SUMPRODUCT(('Bet Log'!B2:B1000="Tennis")*IF('Bet Log'!N2:N1000&lt;&gt;"",'Bet Log'!N2:N1000,0))</f>
        <v>#VALUE!</v>
      </c>
      <c r="K14" s="8">
        <f>IFERROR(J14/SUMPRODUCT(('Bet Log'!B2:B1000="Tennis")*IF('Bet Log'!K2:K1000&lt;&gt;"",'Bet Log'!K2:K1000,0)),0)</f>
        <v>0</v>
      </c>
      <c r="L14" s="1"/>
      <c r="M14" s="1"/>
      <c r="N14" s="1"/>
      <c r="O14" s="1"/>
    </row>
    <row r="15" spans="1:15" ht="1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" customHeight="1" x14ac:dyDescent="0.35">
      <c r="A17" s="1"/>
      <c r="B17" s="4" t="s">
        <v>26</v>
      </c>
      <c r="C17" s="1"/>
      <c r="D17" s="1"/>
      <c r="E17" s="1"/>
      <c r="F17" s="4" t="s">
        <v>27</v>
      </c>
      <c r="G17" s="1"/>
      <c r="H17" s="1"/>
      <c r="I17" s="1"/>
      <c r="J17" s="1"/>
      <c r="K17" s="1"/>
      <c r="L17" s="1"/>
      <c r="M17" s="1"/>
      <c r="N17" s="1"/>
      <c r="O17" s="1"/>
    </row>
    <row r="18" spans="1:15" ht="15" customHeight="1" x14ac:dyDescent="0.35">
      <c r="A18" s="1"/>
      <c r="B18" s="5" t="s">
        <v>28</v>
      </c>
      <c r="C18" s="5" t="s">
        <v>5</v>
      </c>
      <c r="D18" s="5" t="s">
        <v>6</v>
      </c>
      <c r="E18" s="5" t="s">
        <v>7</v>
      </c>
      <c r="F18" s="5" t="s">
        <v>8</v>
      </c>
      <c r="G18" s="5" t="s">
        <v>5</v>
      </c>
      <c r="H18" s="5" t="s">
        <v>6</v>
      </c>
      <c r="I18" s="5" t="s">
        <v>7</v>
      </c>
      <c r="J18" s="5" t="s">
        <v>8</v>
      </c>
      <c r="K18" s="5" t="s">
        <v>9</v>
      </c>
      <c r="L18" s="1"/>
      <c r="M18" s="1"/>
      <c r="N18" s="1"/>
      <c r="O18" s="1"/>
    </row>
    <row r="19" spans="1:15" ht="15" customHeight="1" x14ac:dyDescent="0.35">
      <c r="A19" s="1"/>
      <c r="B19" s="16" t="s">
        <v>29</v>
      </c>
      <c r="C19" s="7">
        <f>COUNTIF('Bet Log'!J2:J1000,"A+")</f>
        <v>4</v>
      </c>
      <c r="D19" s="7">
        <f>COUNTIFS('Bet Log'!J2:J1000,"A+",'Bet Log'!M2:M1000,"W")</f>
        <v>1</v>
      </c>
      <c r="E19" s="8">
        <f t="shared" ref="E19:E25" si="1">IF(C19=0,"-",D19/C19)</f>
        <v>0.25</v>
      </c>
      <c r="F19" s="7" t="s">
        <v>30</v>
      </c>
      <c r="G19" s="7">
        <f>COUNTIF('Bet Log'!F2:F1000,"ML")</f>
        <v>0</v>
      </c>
      <c r="H19" s="7">
        <f>COUNTIFS('Bet Log'!F2:F1000,"ML",'Bet Log'!M2:M1000,"W")</f>
        <v>0</v>
      </c>
      <c r="I19" s="8" t="str">
        <f>IF(G19=0,"-",H19/G19)</f>
        <v>-</v>
      </c>
      <c r="J19" s="9">
        <f>SUMPRODUCT(('Bet Log'!F2:F1000="ML")*IF('Bet Log'!N2:N1000&lt;&gt;"",'Bet Log'!N2:N1000,0))</f>
        <v>0</v>
      </c>
      <c r="K19" s="8">
        <f>IFERROR(J19/SUMPRODUCT(('Bet Log'!F2:F1000="ML")*IF('Bet Log'!K2:K1000&lt;&gt;"",'Bet Log'!K2:K1000,0)),0)</f>
        <v>0</v>
      </c>
      <c r="L19" s="1"/>
      <c r="M19" s="1"/>
      <c r="N19" s="1"/>
      <c r="O19" s="1"/>
    </row>
    <row r="20" spans="1:15" ht="15" customHeight="1" x14ac:dyDescent="0.35">
      <c r="A20" s="1"/>
      <c r="B20" s="16" t="s">
        <v>31</v>
      </c>
      <c r="C20" s="7">
        <f>COUNTIF('Bet Log'!J2:J1000,"A")</f>
        <v>4</v>
      </c>
      <c r="D20" s="7">
        <f>COUNTIFS('Bet Log'!J2:J1000,"A",'Bet Log'!M2:M1000,"W")</f>
        <v>2</v>
      </c>
      <c r="E20" s="8">
        <f t="shared" si="1"/>
        <v>0.5</v>
      </c>
      <c r="F20" s="7" t="s">
        <v>32</v>
      </c>
      <c r="G20" s="7">
        <f>COUNTIF('Bet Log'!F2:F1000,"Spread")</f>
        <v>0</v>
      </c>
      <c r="H20" s="7">
        <f>COUNTIFS('Bet Log'!F2:F1000,"Spread",'Bet Log'!M2:M1000,"W")</f>
        <v>0</v>
      </c>
      <c r="I20" s="8" t="str">
        <f>IF(G20=0,"-",H20/G20)</f>
        <v>-</v>
      </c>
      <c r="J20" s="9">
        <f>SUMPRODUCT(('Bet Log'!F2:F1000="Spread")*IF('Bet Log'!N2:N1000&lt;&gt;"",'Bet Log'!N2:N1000,0))</f>
        <v>0</v>
      </c>
      <c r="K20" s="8">
        <f>IFERROR(J20/SUMPRODUCT(('Bet Log'!F2:F1000="Spread")*IF('Bet Log'!K2:K1000&lt;&gt;"",'Bet Log'!K2:K1000,0)),0)</f>
        <v>0</v>
      </c>
      <c r="L20" s="1"/>
      <c r="M20" s="1"/>
      <c r="N20" s="1"/>
      <c r="O20" s="1"/>
    </row>
    <row r="21" spans="1:15" ht="15" customHeight="1" x14ac:dyDescent="0.35">
      <c r="A21" s="1"/>
      <c r="B21" s="16" t="s">
        <v>33</v>
      </c>
      <c r="C21" s="7">
        <f>COUNTIF('Bet Log'!J2:J1000,"B+")</f>
        <v>0</v>
      </c>
      <c r="D21" s="7">
        <f>COUNTIFS('Bet Log'!J2:J1000,"B+",'Bet Log'!M2:M1000,"W")</f>
        <v>0</v>
      </c>
      <c r="E21" s="8" t="str">
        <f t="shared" si="1"/>
        <v>-</v>
      </c>
      <c r="F21" s="7" t="s">
        <v>34</v>
      </c>
      <c r="G21" s="7">
        <f>COUNTIF('Bet Log'!F2:F1000,"Total")</f>
        <v>0</v>
      </c>
      <c r="H21" s="7">
        <f>COUNTIFS('Bet Log'!F2:F1000,"Total",'Bet Log'!M2:M1000,"W")</f>
        <v>0</v>
      </c>
      <c r="I21" s="8" t="str">
        <f>IF(G21=0,"-",H21/G21)</f>
        <v>-</v>
      </c>
      <c r="J21" s="9">
        <f>SUMPRODUCT(('Bet Log'!F2:F1000="Total")*IF('Bet Log'!N2:N1000&lt;&gt;"",'Bet Log'!N2:N1000,0))</f>
        <v>0</v>
      </c>
      <c r="K21" s="8">
        <f>IFERROR(J21/SUMPRODUCT(('Bet Log'!F2:F1000="Total")*IF('Bet Log'!K2:K1000&lt;&gt;"",'Bet Log'!K2:K1000,0)),0)</f>
        <v>0</v>
      </c>
      <c r="L21" s="1"/>
      <c r="M21" s="1"/>
      <c r="N21" s="1"/>
      <c r="O21" s="1"/>
    </row>
    <row r="22" spans="1:15" ht="15" customHeight="1" x14ac:dyDescent="0.35">
      <c r="A22" s="1"/>
      <c r="B22" s="16" t="s">
        <v>35</v>
      </c>
      <c r="C22" s="7">
        <f>COUNTIF('Bet Log'!J2:J1000,"B")</f>
        <v>0</v>
      </c>
      <c r="D22" s="7">
        <f>COUNTIFS('Bet Log'!J2:J1000,"B",'Bet Log'!M2:M1000,"W")</f>
        <v>0</v>
      </c>
      <c r="E22" s="8" t="str">
        <f t="shared" si="1"/>
        <v>-</v>
      </c>
      <c r="F22" s="7" t="s">
        <v>36</v>
      </c>
      <c r="G22" s="7">
        <f>COUNTIF('Bet Log'!F2:F1000,"Prop")</f>
        <v>14</v>
      </c>
      <c r="H22" s="7">
        <f>COUNTIFS('Bet Log'!F2:F1000,"Prop",'Bet Log'!M2:M1000,"W")</f>
        <v>8</v>
      </c>
      <c r="I22" s="8">
        <f>IF(G22=0,"-",H22/G22)</f>
        <v>0.5714285714285714</v>
      </c>
      <c r="J22" s="9">
        <f>SUMPRODUCT(('Bet Log'!F2:F1000="Prop")*IF('Bet Log'!N2:N1000&lt;&gt;"",'Bet Log'!N2:N1000,0))</f>
        <v>0</v>
      </c>
      <c r="K22" s="8">
        <f>IFERROR(J22/SUMPRODUCT(('Bet Log'!F2:F1000="Prop")*IF('Bet Log'!K2:K1000&lt;&gt;"",'Bet Log'!K2:K1000,0)),0)</f>
        <v>0</v>
      </c>
      <c r="L22" s="1"/>
      <c r="M22" s="1"/>
      <c r="N22" s="1"/>
      <c r="O22" s="1"/>
    </row>
    <row r="23" spans="1:15" ht="15" customHeight="1" x14ac:dyDescent="0.35">
      <c r="A23" s="1"/>
      <c r="B23" s="16" t="s">
        <v>37</v>
      </c>
      <c r="C23" s="7">
        <f>COUNTIF('Bet Log'!J2:J1000,"C+")</f>
        <v>0</v>
      </c>
      <c r="D23" s="7">
        <f>COUNTIFS('Bet Log'!J2:J1000,"C+",'Bet Log'!M2:M1000,"W")</f>
        <v>0</v>
      </c>
      <c r="E23" s="8" t="str">
        <f t="shared" si="1"/>
        <v>-</v>
      </c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" customHeight="1" x14ac:dyDescent="0.35">
      <c r="A24" s="1"/>
      <c r="B24" s="16" t="s">
        <v>38</v>
      </c>
      <c r="C24" s="7">
        <f>COUNTIF('Bet Log'!J2:J1000,"C")</f>
        <v>0</v>
      </c>
      <c r="D24" s="7">
        <f>COUNTIFS('Bet Log'!J2:J1000,"C",'Bet Log'!M2:M1000,"W")</f>
        <v>0</v>
      </c>
      <c r="E24" s="8" t="str">
        <f t="shared" si="1"/>
        <v>-</v>
      </c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" customHeight="1" x14ac:dyDescent="0.35">
      <c r="A25" s="1"/>
      <c r="B25" s="16" t="s">
        <v>39</v>
      </c>
      <c r="C25" s="7">
        <f>COUNTIF('Bet Log'!J2:J1000,"D")</f>
        <v>0</v>
      </c>
      <c r="D25" s="7">
        <f>COUNTIFS('Bet Log'!J2:J1000,"D",'Bet Log'!M2:M1000,"W")</f>
        <v>0</v>
      </c>
      <c r="E25" s="8" t="str">
        <f t="shared" si="1"/>
        <v>-</v>
      </c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E676"/>
  </sheetPr>
  <dimension ref="A1:Q501"/>
  <sheetViews>
    <sheetView tabSelected="1" zoomScaleNormal="100" workbookViewId="0">
      <pane ySplit="1" topLeftCell="A2" activePane="bottomLeft" state="frozen"/>
      <selection pane="bottomLeft" activeCell="A19" sqref="A19"/>
    </sheetView>
  </sheetViews>
  <sheetFormatPr defaultColWidth="8.6328125" defaultRowHeight="14.5" x14ac:dyDescent="0.35"/>
  <cols>
    <col min="1" max="1" width="12" style="30" customWidth="1"/>
    <col min="2" max="2" width="8" style="30" customWidth="1"/>
    <col min="3" max="3" width="28" style="30" customWidth="1"/>
    <col min="4" max="4" width="19.08984375" style="30" bestFit="1" customWidth="1"/>
    <col min="5" max="5" width="25.90625" style="30" bestFit="1" customWidth="1"/>
    <col min="6" max="6" width="10" style="30" customWidth="1"/>
    <col min="7" max="7" width="8" style="30" customWidth="1"/>
    <col min="8" max="9" width="10" style="30" customWidth="1"/>
    <col min="10" max="10" width="8" style="30" customWidth="1"/>
    <col min="11" max="11" width="10" style="30" customWidth="1"/>
    <col min="12" max="12" width="14" customWidth="1"/>
    <col min="13" max="13" width="8" customWidth="1"/>
    <col min="14" max="14" width="12" customWidth="1"/>
    <col min="15" max="15" width="14" customWidth="1"/>
    <col min="16" max="16" width="8" customWidth="1"/>
    <col min="17" max="17" width="20" customWidth="1"/>
  </cols>
  <sheetData>
    <row r="1" spans="1:17" ht="26.25" customHeight="1" x14ac:dyDescent="0.35">
      <c r="A1" s="5" t="s">
        <v>40</v>
      </c>
      <c r="B1" s="5" t="s">
        <v>4</v>
      </c>
      <c r="C1" s="5" t="s">
        <v>41</v>
      </c>
      <c r="D1" s="5" t="s">
        <v>42</v>
      </c>
      <c r="E1" s="5" t="s">
        <v>43</v>
      </c>
      <c r="F1" s="5" t="s">
        <v>44</v>
      </c>
      <c r="G1" s="5" t="s">
        <v>45</v>
      </c>
      <c r="H1" s="5" t="s">
        <v>46</v>
      </c>
      <c r="I1" s="5" t="s">
        <v>47</v>
      </c>
      <c r="J1" s="5" t="s">
        <v>28</v>
      </c>
      <c r="K1" s="5" t="s">
        <v>48</v>
      </c>
      <c r="L1" s="5" t="s">
        <v>49</v>
      </c>
      <c r="M1" s="5" t="s">
        <v>50</v>
      </c>
      <c r="N1" s="5" t="s">
        <v>8</v>
      </c>
      <c r="O1" s="5" t="s">
        <v>51</v>
      </c>
      <c r="P1" s="5" t="s">
        <v>52</v>
      </c>
      <c r="Q1" s="5" t="s">
        <v>53</v>
      </c>
    </row>
    <row r="2" spans="1:17" ht="15" customHeight="1" x14ac:dyDescent="0.35">
      <c r="A2" s="23">
        <v>46074</v>
      </c>
      <c r="B2" s="25" t="s">
        <v>11</v>
      </c>
      <c r="C2" s="25" t="s">
        <v>75</v>
      </c>
      <c r="D2" s="25" t="s">
        <v>76</v>
      </c>
      <c r="E2" s="25" t="s">
        <v>77</v>
      </c>
      <c r="F2" s="25" t="s">
        <v>36</v>
      </c>
      <c r="G2" s="25">
        <v>4.5</v>
      </c>
      <c r="H2" s="26">
        <v>165</v>
      </c>
      <c r="I2" s="27"/>
      <c r="J2" s="25"/>
      <c r="K2" s="28">
        <v>25</v>
      </c>
      <c r="L2" s="25" t="s">
        <v>78</v>
      </c>
      <c r="M2" s="31" t="s">
        <v>83</v>
      </c>
      <c r="N2" s="9">
        <v>41.25</v>
      </c>
      <c r="O2" s="9">
        <f>IF(N2="","",N2)</f>
        <v>41.25</v>
      </c>
      <c r="P2" s="18"/>
      <c r="Q2" s="33" t="s">
        <v>79</v>
      </c>
    </row>
    <row r="3" spans="1:17" ht="15" customHeight="1" x14ac:dyDescent="0.35">
      <c r="A3" s="23">
        <v>46074</v>
      </c>
      <c r="B3" s="25" t="s">
        <v>80</v>
      </c>
      <c r="C3" s="25" t="s">
        <v>81</v>
      </c>
      <c r="D3" s="25" t="s">
        <v>82</v>
      </c>
      <c r="E3" s="25" t="s">
        <v>86</v>
      </c>
      <c r="F3" s="25" t="s">
        <v>36</v>
      </c>
      <c r="G3" s="25">
        <v>17.5</v>
      </c>
      <c r="H3" s="26">
        <v>-109</v>
      </c>
      <c r="I3" s="27"/>
      <c r="J3" s="25"/>
      <c r="K3" s="28">
        <v>36</v>
      </c>
      <c r="L3" s="25" t="s">
        <v>78</v>
      </c>
      <c r="M3" s="24" t="s">
        <v>83</v>
      </c>
      <c r="N3" s="9">
        <v>33.020000000000003</v>
      </c>
      <c r="O3" s="9">
        <f t="shared" ref="O3:O66" si="0">IF(N3="","",O2+N3)</f>
        <v>74.27000000000001</v>
      </c>
      <c r="P3" s="18"/>
      <c r="Q3" s="32" t="s">
        <v>124</v>
      </c>
    </row>
    <row r="4" spans="1:17" ht="15" customHeight="1" x14ac:dyDescent="0.35">
      <c r="A4" s="23">
        <v>46074</v>
      </c>
      <c r="B4" s="25" t="s">
        <v>80</v>
      </c>
      <c r="C4" s="25" t="s">
        <v>81</v>
      </c>
      <c r="D4" s="25" t="s">
        <v>84</v>
      </c>
      <c r="E4" s="25" t="s">
        <v>85</v>
      </c>
      <c r="F4" s="25" t="s">
        <v>87</v>
      </c>
      <c r="G4" s="25">
        <v>2.5</v>
      </c>
      <c r="H4" s="26">
        <v>119</v>
      </c>
      <c r="I4" s="27"/>
      <c r="J4" s="25"/>
      <c r="K4" s="28">
        <v>28</v>
      </c>
      <c r="L4" s="25" t="s">
        <v>78</v>
      </c>
      <c r="M4" s="17" t="s">
        <v>88</v>
      </c>
      <c r="N4" s="9">
        <f t="shared" ref="N4:N65" si="1">IF(M4="","",IF(M4="Push",0,IF(M4="Void",0,IF(M4="W",IF(H4&gt;0,K4*H4/100,K4*100/ABS(H4)),-K4))))</f>
        <v>-28</v>
      </c>
      <c r="O4" s="9">
        <f t="shared" si="0"/>
        <v>46.27000000000001</v>
      </c>
      <c r="P4" s="18"/>
      <c r="Q4" s="32" t="s">
        <v>124</v>
      </c>
    </row>
    <row r="5" spans="1:17" ht="15" customHeight="1" x14ac:dyDescent="0.35">
      <c r="A5" s="23">
        <v>46075</v>
      </c>
      <c r="B5" s="25" t="s">
        <v>11</v>
      </c>
      <c r="C5" s="25" t="s">
        <v>89</v>
      </c>
      <c r="D5" s="25" t="s">
        <v>90</v>
      </c>
      <c r="E5" s="25" t="s">
        <v>91</v>
      </c>
      <c r="F5" s="25" t="s">
        <v>36</v>
      </c>
      <c r="G5" s="25">
        <v>0.5</v>
      </c>
      <c r="H5" s="26">
        <v>-230</v>
      </c>
      <c r="I5" s="27"/>
      <c r="J5" s="25"/>
      <c r="K5" s="28">
        <v>83</v>
      </c>
      <c r="L5" s="25" t="s">
        <v>78</v>
      </c>
      <c r="M5" s="24" t="s">
        <v>83</v>
      </c>
      <c r="N5" s="9">
        <f t="shared" si="1"/>
        <v>36.086956521739133</v>
      </c>
      <c r="O5" s="9">
        <f t="shared" si="0"/>
        <v>82.356956521739136</v>
      </c>
      <c r="P5" s="18"/>
      <c r="Q5" s="32" t="s">
        <v>124</v>
      </c>
    </row>
    <row r="6" spans="1:17" ht="15" customHeight="1" x14ac:dyDescent="0.35">
      <c r="A6" s="23">
        <v>46075</v>
      </c>
      <c r="B6" s="25" t="s">
        <v>11</v>
      </c>
      <c r="C6" s="25" t="s">
        <v>89</v>
      </c>
      <c r="D6" s="25" t="s">
        <v>92</v>
      </c>
      <c r="E6" s="25" t="s">
        <v>93</v>
      </c>
      <c r="F6" s="25" t="s">
        <v>36</v>
      </c>
      <c r="G6" s="25">
        <v>13.5</v>
      </c>
      <c r="H6" s="26">
        <v>-101</v>
      </c>
      <c r="I6" s="27"/>
      <c r="J6" s="25"/>
      <c r="K6" s="28">
        <v>38</v>
      </c>
      <c r="L6" s="25" t="s">
        <v>78</v>
      </c>
      <c r="M6" s="24" t="s">
        <v>83</v>
      </c>
      <c r="N6" s="9">
        <f t="shared" si="1"/>
        <v>37.623762376237622</v>
      </c>
      <c r="O6" s="9">
        <f t="shared" si="0"/>
        <v>119.98071889797676</v>
      </c>
      <c r="P6" s="18"/>
      <c r="Q6" s="32" t="s">
        <v>124</v>
      </c>
    </row>
    <row r="7" spans="1:17" ht="15" customHeight="1" x14ac:dyDescent="0.35">
      <c r="A7" s="23">
        <v>46075</v>
      </c>
      <c r="B7" s="25" t="s">
        <v>80</v>
      </c>
      <c r="C7" s="25" t="s">
        <v>89</v>
      </c>
      <c r="D7" s="25" t="s">
        <v>94</v>
      </c>
      <c r="E7" s="25" t="s">
        <v>95</v>
      </c>
      <c r="F7" s="25" t="s">
        <v>36</v>
      </c>
      <c r="G7" s="25">
        <v>13.5</v>
      </c>
      <c r="H7" s="26">
        <v>-113</v>
      </c>
      <c r="I7" s="27"/>
      <c r="J7" s="25"/>
      <c r="K7" s="28">
        <v>71</v>
      </c>
      <c r="L7" s="25" t="s">
        <v>78</v>
      </c>
      <c r="M7" s="24" t="s">
        <v>88</v>
      </c>
      <c r="N7" s="9">
        <f t="shared" si="1"/>
        <v>-71</v>
      </c>
      <c r="O7" s="9">
        <f t="shared" si="0"/>
        <v>48.980718897976757</v>
      </c>
      <c r="P7" s="18"/>
      <c r="Q7" s="32" t="s">
        <v>124</v>
      </c>
    </row>
    <row r="8" spans="1:17" ht="15" customHeight="1" x14ac:dyDescent="0.35">
      <c r="A8" s="23">
        <v>46075</v>
      </c>
      <c r="B8" s="25" t="s">
        <v>80</v>
      </c>
      <c r="C8" s="25" t="s">
        <v>89</v>
      </c>
      <c r="D8" s="25" t="s">
        <v>96</v>
      </c>
      <c r="E8" s="25" t="s">
        <v>97</v>
      </c>
      <c r="F8" s="25" t="s">
        <v>36</v>
      </c>
      <c r="G8" s="25">
        <v>12.5</v>
      </c>
      <c r="H8" s="26">
        <v>100</v>
      </c>
      <c r="I8" s="27"/>
      <c r="J8" s="25"/>
      <c r="K8" s="28">
        <v>83</v>
      </c>
      <c r="L8" s="25" t="s">
        <v>78</v>
      </c>
      <c r="M8" s="24" t="s">
        <v>88</v>
      </c>
      <c r="N8" s="9">
        <f t="shared" si="1"/>
        <v>-83</v>
      </c>
      <c r="O8" s="9">
        <f t="shared" si="0"/>
        <v>-34.019281102023243</v>
      </c>
      <c r="P8" s="18"/>
      <c r="Q8" s="33" t="s">
        <v>79</v>
      </c>
    </row>
    <row r="9" spans="1:17" ht="15" customHeight="1" x14ac:dyDescent="0.35">
      <c r="A9" s="23">
        <v>46075</v>
      </c>
      <c r="B9" s="25" t="s">
        <v>80</v>
      </c>
      <c r="C9" s="25" t="s">
        <v>89</v>
      </c>
      <c r="D9" s="25" t="s">
        <v>98</v>
      </c>
      <c r="E9" s="25" t="s">
        <v>99</v>
      </c>
      <c r="F9" s="25" t="s">
        <v>36</v>
      </c>
      <c r="G9" s="25">
        <v>17.5</v>
      </c>
      <c r="H9" s="26">
        <v>265</v>
      </c>
      <c r="I9" s="27"/>
      <c r="J9" s="25"/>
      <c r="K9" s="28">
        <v>126</v>
      </c>
      <c r="L9" s="25" t="s">
        <v>78</v>
      </c>
      <c r="M9" s="24" t="s">
        <v>83</v>
      </c>
      <c r="N9" s="9">
        <f t="shared" si="1"/>
        <v>333.9</v>
      </c>
      <c r="O9" s="9">
        <f t="shared" si="0"/>
        <v>299.88071889797675</v>
      </c>
      <c r="P9" s="18"/>
      <c r="Q9" s="33" t="s">
        <v>79</v>
      </c>
    </row>
    <row r="10" spans="1:17" ht="15" customHeight="1" x14ac:dyDescent="0.35">
      <c r="A10" s="23">
        <v>46075</v>
      </c>
      <c r="B10" s="25" t="s">
        <v>80</v>
      </c>
      <c r="C10" s="25" t="s">
        <v>100</v>
      </c>
      <c r="D10" s="25" t="s">
        <v>101</v>
      </c>
      <c r="E10" s="25" t="s">
        <v>102</v>
      </c>
      <c r="F10" s="25" t="s">
        <v>87</v>
      </c>
      <c r="G10" s="25">
        <v>2.5</v>
      </c>
      <c r="H10" s="26">
        <v>106</v>
      </c>
      <c r="I10" s="27"/>
      <c r="J10" s="25"/>
      <c r="K10" s="28">
        <v>41</v>
      </c>
      <c r="L10" s="25" t="s">
        <v>78</v>
      </c>
      <c r="M10" s="24" t="s">
        <v>88</v>
      </c>
      <c r="N10" s="9">
        <f t="shared" si="1"/>
        <v>-41</v>
      </c>
      <c r="O10" s="9">
        <f t="shared" si="0"/>
        <v>258.88071889797675</v>
      </c>
      <c r="P10" s="18"/>
      <c r="Q10" s="32" t="s">
        <v>124</v>
      </c>
    </row>
    <row r="11" spans="1:17" ht="15" customHeight="1" x14ac:dyDescent="0.35">
      <c r="A11" s="23">
        <v>46075</v>
      </c>
      <c r="B11" s="25" t="s">
        <v>80</v>
      </c>
      <c r="C11" s="25" t="s">
        <v>100</v>
      </c>
      <c r="D11" s="25" t="s">
        <v>103</v>
      </c>
      <c r="E11" s="25" t="s">
        <v>104</v>
      </c>
      <c r="F11" s="25" t="s">
        <v>87</v>
      </c>
      <c r="G11" s="25">
        <v>5.5</v>
      </c>
      <c r="H11" s="26">
        <v>105</v>
      </c>
      <c r="I11" s="27">
        <v>0.14699999999999999</v>
      </c>
      <c r="J11" s="25" t="s">
        <v>29</v>
      </c>
      <c r="K11" s="28">
        <v>84</v>
      </c>
      <c r="L11" s="25" t="s">
        <v>78</v>
      </c>
      <c r="M11" s="24" t="s">
        <v>88</v>
      </c>
      <c r="N11" s="9">
        <f t="shared" si="1"/>
        <v>-84</v>
      </c>
      <c r="O11" s="9">
        <f t="shared" si="0"/>
        <v>174.88071889797675</v>
      </c>
      <c r="P11" s="18"/>
      <c r="Q11" s="33" t="s">
        <v>79</v>
      </c>
    </row>
    <row r="12" spans="1:17" ht="15" customHeight="1" x14ac:dyDescent="0.35">
      <c r="A12" s="23">
        <v>46075</v>
      </c>
      <c r="B12" s="25" t="s">
        <v>11</v>
      </c>
      <c r="C12" s="25" t="s">
        <v>100</v>
      </c>
      <c r="D12" s="25" t="s">
        <v>105</v>
      </c>
      <c r="E12" s="25" t="s">
        <v>106</v>
      </c>
      <c r="F12" s="25" t="s">
        <v>36</v>
      </c>
      <c r="G12" s="25">
        <v>1.5</v>
      </c>
      <c r="H12" s="26">
        <v>230</v>
      </c>
      <c r="I12" s="27">
        <v>0.495</v>
      </c>
      <c r="J12" s="25" t="s">
        <v>29</v>
      </c>
      <c r="K12" s="28">
        <v>113</v>
      </c>
      <c r="L12" s="25" t="s">
        <v>78</v>
      </c>
      <c r="M12" s="17" t="s">
        <v>83</v>
      </c>
      <c r="N12" s="9">
        <f t="shared" si="1"/>
        <v>259.89999999999998</v>
      </c>
      <c r="O12" s="9">
        <f t="shared" si="0"/>
        <v>434.78071889797673</v>
      </c>
      <c r="P12" s="18"/>
      <c r="Q12" s="33" t="s">
        <v>79</v>
      </c>
    </row>
    <row r="13" spans="1:17" ht="15" customHeight="1" x14ac:dyDescent="0.35">
      <c r="A13" s="23">
        <v>46075</v>
      </c>
      <c r="B13" s="25" t="s">
        <v>80</v>
      </c>
      <c r="C13" s="25" t="s">
        <v>107</v>
      </c>
      <c r="D13" s="25" t="s">
        <v>108</v>
      </c>
      <c r="E13" s="25" t="s">
        <v>109</v>
      </c>
      <c r="F13" s="25" t="s">
        <v>36</v>
      </c>
      <c r="G13" s="25">
        <v>2.5</v>
      </c>
      <c r="H13" s="26">
        <v>160</v>
      </c>
      <c r="I13" s="27">
        <v>0.25600000000000001</v>
      </c>
      <c r="J13" s="25" t="s">
        <v>31</v>
      </c>
      <c r="K13" s="28">
        <v>78</v>
      </c>
      <c r="L13" s="25" t="s">
        <v>78</v>
      </c>
      <c r="M13" s="17" t="s">
        <v>83</v>
      </c>
      <c r="N13" s="9">
        <f t="shared" si="1"/>
        <v>124.8</v>
      </c>
      <c r="O13" s="9">
        <f t="shared" si="0"/>
        <v>559.58071889797668</v>
      </c>
      <c r="P13" s="18"/>
      <c r="Q13" s="33" t="s">
        <v>79</v>
      </c>
    </row>
    <row r="14" spans="1:17" ht="15" customHeight="1" x14ac:dyDescent="0.35">
      <c r="A14" s="23">
        <v>46075</v>
      </c>
      <c r="B14" s="25" t="s">
        <v>11</v>
      </c>
      <c r="C14" s="25" t="s">
        <v>110</v>
      </c>
      <c r="D14" s="25" t="s">
        <v>111</v>
      </c>
      <c r="E14" s="25" t="s">
        <v>112</v>
      </c>
      <c r="F14" s="25" t="s">
        <v>36</v>
      </c>
      <c r="G14" s="25">
        <v>4.5</v>
      </c>
      <c r="H14" s="26">
        <v>105</v>
      </c>
      <c r="I14" s="27">
        <v>0.17199999999999999</v>
      </c>
      <c r="J14" s="25" t="s">
        <v>31</v>
      </c>
      <c r="K14" s="28">
        <v>82</v>
      </c>
      <c r="L14" s="25" t="s">
        <v>78</v>
      </c>
      <c r="M14" s="17" t="s">
        <v>88</v>
      </c>
      <c r="N14" s="9">
        <f t="shared" si="1"/>
        <v>-82</v>
      </c>
      <c r="O14" s="9">
        <f t="shared" si="0"/>
        <v>477.58071889797668</v>
      </c>
      <c r="P14" s="18"/>
      <c r="Q14" s="33" t="s">
        <v>79</v>
      </c>
    </row>
    <row r="15" spans="1:17" ht="15" customHeight="1" x14ac:dyDescent="0.35">
      <c r="A15" s="23">
        <v>46075</v>
      </c>
      <c r="B15" s="25" t="s">
        <v>11</v>
      </c>
      <c r="C15" s="25" t="s">
        <v>113</v>
      </c>
      <c r="D15" s="25" t="s">
        <v>114</v>
      </c>
      <c r="E15" s="25" t="s">
        <v>115</v>
      </c>
      <c r="F15" s="25" t="s">
        <v>36</v>
      </c>
      <c r="G15" s="25">
        <v>3.5</v>
      </c>
      <c r="H15" s="26">
        <v>130</v>
      </c>
      <c r="I15" s="27">
        <v>0.184</v>
      </c>
      <c r="J15" s="25" t="s">
        <v>31</v>
      </c>
      <c r="K15" s="28">
        <v>112</v>
      </c>
      <c r="L15" s="25" t="s">
        <v>78</v>
      </c>
      <c r="M15" s="17" t="s">
        <v>88</v>
      </c>
      <c r="N15" s="9">
        <f t="shared" si="1"/>
        <v>-112</v>
      </c>
      <c r="O15" s="9">
        <f t="shared" si="0"/>
        <v>365.58071889797668</v>
      </c>
      <c r="P15" s="18"/>
      <c r="Q15" s="33" t="s">
        <v>79</v>
      </c>
    </row>
    <row r="16" spans="1:17" ht="15" customHeight="1" x14ac:dyDescent="0.35">
      <c r="A16" s="23">
        <v>46075</v>
      </c>
      <c r="B16" s="25" t="s">
        <v>11</v>
      </c>
      <c r="C16" s="25" t="s">
        <v>116</v>
      </c>
      <c r="D16" s="25" t="s">
        <v>117</v>
      </c>
      <c r="E16" s="25" t="s">
        <v>118</v>
      </c>
      <c r="F16" s="25" t="s">
        <v>36</v>
      </c>
      <c r="G16" s="25">
        <v>6.5</v>
      </c>
      <c r="H16" s="26">
        <v>-105</v>
      </c>
      <c r="I16" s="27">
        <v>0.22700000000000001</v>
      </c>
      <c r="J16" s="25" t="s">
        <v>29</v>
      </c>
      <c r="K16" s="28">
        <v>119</v>
      </c>
      <c r="L16" s="25" t="s">
        <v>78</v>
      </c>
      <c r="M16" s="17" t="s">
        <v>88</v>
      </c>
      <c r="N16" s="9">
        <f t="shared" si="1"/>
        <v>-119</v>
      </c>
      <c r="O16" s="9">
        <f t="shared" si="0"/>
        <v>246.58071889797668</v>
      </c>
      <c r="P16" s="18"/>
      <c r="Q16" s="33" t="s">
        <v>79</v>
      </c>
    </row>
    <row r="17" spans="1:17" ht="15" customHeight="1" x14ac:dyDescent="0.35">
      <c r="A17" s="23">
        <v>46075</v>
      </c>
      <c r="B17" s="25" t="s">
        <v>11</v>
      </c>
      <c r="C17" s="25" t="s">
        <v>116</v>
      </c>
      <c r="D17" s="25" t="s">
        <v>119</v>
      </c>
      <c r="E17" s="25" t="s">
        <v>120</v>
      </c>
      <c r="F17" s="25" t="s">
        <v>36</v>
      </c>
      <c r="G17" s="25">
        <v>11.5</v>
      </c>
      <c r="H17" s="26">
        <v>110</v>
      </c>
      <c r="I17" s="27">
        <v>0.23599999999999999</v>
      </c>
      <c r="J17" s="25" t="s">
        <v>31</v>
      </c>
      <c r="K17" s="28">
        <v>104</v>
      </c>
      <c r="L17" s="25" t="s">
        <v>78</v>
      </c>
      <c r="M17" s="17" t="s">
        <v>83</v>
      </c>
      <c r="N17" s="9">
        <f t="shared" si="1"/>
        <v>114.4</v>
      </c>
      <c r="O17" s="9">
        <f t="shared" si="0"/>
        <v>360.98071889797666</v>
      </c>
      <c r="P17" s="18"/>
      <c r="Q17" s="33" t="s">
        <v>79</v>
      </c>
    </row>
    <row r="18" spans="1:17" ht="15" customHeight="1" x14ac:dyDescent="0.35">
      <c r="A18" s="23">
        <v>46076</v>
      </c>
      <c r="B18" s="25" t="s">
        <v>11</v>
      </c>
      <c r="C18" s="25" t="s">
        <v>121</v>
      </c>
      <c r="D18" s="25" t="s">
        <v>122</v>
      </c>
      <c r="E18" s="25" t="s">
        <v>123</v>
      </c>
      <c r="F18" s="25" t="s">
        <v>36</v>
      </c>
      <c r="G18" s="25">
        <v>10.5</v>
      </c>
      <c r="H18" s="26">
        <v>100</v>
      </c>
      <c r="I18" s="27">
        <v>9.6000000000000002E-2</v>
      </c>
      <c r="J18" s="25" t="s">
        <v>29</v>
      </c>
      <c r="K18" s="28">
        <v>48</v>
      </c>
      <c r="L18" s="25" t="s">
        <v>78</v>
      </c>
      <c r="M18" s="17"/>
      <c r="N18" s="9" t="str">
        <f t="shared" si="1"/>
        <v/>
      </c>
      <c r="O18" s="9" t="str">
        <f t="shared" si="0"/>
        <v/>
      </c>
      <c r="P18" s="18"/>
      <c r="Q18" s="32" t="s">
        <v>124</v>
      </c>
    </row>
    <row r="19" spans="1:17" ht="15" customHeight="1" x14ac:dyDescent="0.35">
      <c r="A19" s="23"/>
      <c r="B19" s="25"/>
      <c r="C19" s="25"/>
      <c r="D19" s="25"/>
      <c r="E19" s="25"/>
      <c r="F19" s="25"/>
      <c r="G19" s="25"/>
      <c r="H19" s="26"/>
      <c r="I19" s="27"/>
      <c r="J19" s="25"/>
      <c r="K19" s="28"/>
      <c r="L19" s="25"/>
      <c r="M19" s="17"/>
      <c r="N19" s="9" t="str">
        <f t="shared" si="1"/>
        <v/>
      </c>
      <c r="O19" s="9" t="str">
        <f t="shared" si="0"/>
        <v/>
      </c>
      <c r="P19" s="18"/>
      <c r="Q19" s="31"/>
    </row>
    <row r="20" spans="1:17" ht="15" customHeight="1" x14ac:dyDescent="0.35">
      <c r="A20" s="23"/>
      <c r="B20" s="25"/>
      <c r="C20" s="25"/>
      <c r="D20" s="25"/>
      <c r="E20" s="25"/>
      <c r="F20" s="25"/>
      <c r="G20" s="25"/>
      <c r="H20" s="26"/>
      <c r="I20" s="27"/>
      <c r="J20" s="25"/>
      <c r="K20" s="28"/>
      <c r="L20" s="25"/>
      <c r="M20" s="17"/>
      <c r="N20" s="9" t="str">
        <f t="shared" si="1"/>
        <v/>
      </c>
      <c r="O20" s="9" t="str">
        <f t="shared" si="0"/>
        <v/>
      </c>
      <c r="P20" s="18"/>
      <c r="Q20" s="31"/>
    </row>
    <row r="21" spans="1:17" ht="15" customHeight="1" x14ac:dyDescent="0.35">
      <c r="A21" s="23"/>
      <c r="B21" s="25"/>
      <c r="C21" s="25"/>
      <c r="D21" s="25"/>
      <c r="E21" s="25"/>
      <c r="F21" s="25"/>
      <c r="G21" s="25"/>
      <c r="H21" s="26"/>
      <c r="I21" s="27"/>
      <c r="J21" s="25"/>
      <c r="K21" s="28"/>
      <c r="L21" s="25"/>
      <c r="M21" s="17"/>
      <c r="N21" s="9" t="str">
        <f t="shared" si="1"/>
        <v/>
      </c>
      <c r="O21" s="9" t="str">
        <f t="shared" si="0"/>
        <v/>
      </c>
      <c r="P21" s="18"/>
      <c r="Q21" s="31"/>
    </row>
    <row r="22" spans="1:17" ht="15" customHeight="1" x14ac:dyDescent="0.35">
      <c r="A22" s="23"/>
      <c r="B22" s="25"/>
      <c r="C22" s="25"/>
      <c r="D22" s="25"/>
      <c r="E22" s="25"/>
      <c r="F22" s="25"/>
      <c r="G22" s="25"/>
      <c r="H22" s="26"/>
      <c r="I22" s="27"/>
      <c r="J22" s="25"/>
      <c r="K22" s="28"/>
      <c r="L22" s="25"/>
      <c r="M22" s="17"/>
      <c r="N22" s="9" t="str">
        <f t="shared" si="1"/>
        <v/>
      </c>
      <c r="O22" s="9" t="str">
        <f t="shared" si="0"/>
        <v/>
      </c>
      <c r="P22" s="18"/>
      <c r="Q22" s="31"/>
    </row>
    <row r="23" spans="1:17" ht="15" customHeight="1" x14ac:dyDescent="0.35">
      <c r="A23" s="23"/>
      <c r="B23" s="25"/>
      <c r="C23" s="25"/>
      <c r="D23" s="25"/>
      <c r="E23" s="25"/>
      <c r="F23" s="25"/>
      <c r="G23" s="25"/>
      <c r="H23" s="26"/>
      <c r="I23" s="27"/>
      <c r="J23" s="25"/>
      <c r="K23" s="28"/>
      <c r="L23" s="25"/>
      <c r="M23" s="17"/>
      <c r="N23" s="9" t="str">
        <f t="shared" si="1"/>
        <v/>
      </c>
      <c r="O23" s="9" t="str">
        <f t="shared" si="0"/>
        <v/>
      </c>
      <c r="P23" s="18"/>
      <c r="Q23" s="31"/>
    </row>
    <row r="24" spans="1:17" ht="15" customHeight="1" x14ac:dyDescent="0.35">
      <c r="A24" s="23"/>
      <c r="B24" s="25"/>
      <c r="C24" s="25"/>
      <c r="D24" s="25"/>
      <c r="E24" s="25"/>
      <c r="F24" s="25"/>
      <c r="G24" s="25"/>
      <c r="H24" s="26"/>
      <c r="I24" s="27"/>
      <c r="J24" s="25"/>
      <c r="K24" s="28"/>
      <c r="L24" s="25"/>
      <c r="M24" s="17"/>
      <c r="N24" s="9" t="str">
        <f t="shared" si="1"/>
        <v/>
      </c>
      <c r="O24" s="9" t="str">
        <f t="shared" si="0"/>
        <v/>
      </c>
      <c r="P24" s="18"/>
      <c r="Q24" s="31"/>
    </row>
    <row r="25" spans="1:17" ht="15" customHeight="1" x14ac:dyDescent="0.35">
      <c r="A25" s="23"/>
      <c r="B25" s="25"/>
      <c r="C25" s="25"/>
      <c r="D25" s="25"/>
      <c r="E25" s="25"/>
      <c r="F25" s="25"/>
      <c r="G25" s="25"/>
      <c r="H25" s="26"/>
      <c r="I25" s="27"/>
      <c r="J25" s="25"/>
      <c r="K25" s="28"/>
      <c r="L25" s="25"/>
      <c r="M25" s="17"/>
      <c r="N25" s="9" t="str">
        <f t="shared" si="1"/>
        <v/>
      </c>
      <c r="O25" s="9" t="str">
        <f t="shared" si="0"/>
        <v/>
      </c>
      <c r="P25" s="18"/>
      <c r="Q25" s="31"/>
    </row>
    <row r="26" spans="1:17" ht="15" customHeight="1" x14ac:dyDescent="0.35">
      <c r="A26" s="23"/>
      <c r="B26" s="25"/>
      <c r="C26" s="25"/>
      <c r="D26" s="25"/>
      <c r="E26" s="25"/>
      <c r="F26" s="25"/>
      <c r="G26" s="25"/>
      <c r="H26" s="26"/>
      <c r="I26" s="27"/>
      <c r="J26" s="25"/>
      <c r="K26" s="28"/>
      <c r="L26" s="25"/>
      <c r="M26" s="17"/>
      <c r="N26" s="9" t="str">
        <f t="shared" si="1"/>
        <v/>
      </c>
      <c r="O26" s="9" t="str">
        <f t="shared" si="0"/>
        <v/>
      </c>
      <c r="P26" s="18"/>
      <c r="Q26" s="31"/>
    </row>
    <row r="27" spans="1:17" ht="15" customHeight="1" x14ac:dyDescent="0.35">
      <c r="A27" s="23"/>
      <c r="B27" s="25"/>
      <c r="C27" s="25"/>
      <c r="D27" s="25"/>
      <c r="E27" s="25"/>
      <c r="F27" s="25"/>
      <c r="G27" s="25"/>
      <c r="H27" s="26"/>
      <c r="I27" s="27"/>
      <c r="J27" s="25"/>
      <c r="K27" s="28"/>
      <c r="L27" s="25"/>
      <c r="M27" s="17"/>
      <c r="N27" s="9" t="str">
        <f t="shared" si="1"/>
        <v/>
      </c>
      <c r="O27" s="9" t="str">
        <f t="shared" si="0"/>
        <v/>
      </c>
      <c r="P27" s="18"/>
      <c r="Q27" s="31"/>
    </row>
    <row r="28" spans="1:17" ht="15" customHeight="1" x14ac:dyDescent="0.35">
      <c r="A28" s="23"/>
      <c r="B28" s="25"/>
      <c r="C28" s="25"/>
      <c r="D28" s="25"/>
      <c r="E28" s="25"/>
      <c r="F28" s="25"/>
      <c r="G28" s="25"/>
      <c r="H28" s="26"/>
      <c r="I28" s="27"/>
      <c r="J28" s="25"/>
      <c r="K28" s="28"/>
      <c r="L28" s="25"/>
      <c r="M28" s="17"/>
      <c r="N28" s="9" t="str">
        <f t="shared" si="1"/>
        <v/>
      </c>
      <c r="O28" s="9" t="str">
        <f t="shared" si="0"/>
        <v/>
      </c>
      <c r="P28" s="18"/>
      <c r="Q28" s="31"/>
    </row>
    <row r="29" spans="1:17" ht="15" customHeight="1" x14ac:dyDescent="0.35">
      <c r="A29" s="23"/>
      <c r="B29" s="25"/>
      <c r="C29" s="25"/>
      <c r="D29" s="25"/>
      <c r="E29" s="25"/>
      <c r="F29" s="25"/>
      <c r="G29" s="25"/>
      <c r="H29" s="26"/>
      <c r="I29" s="27"/>
      <c r="J29" s="25"/>
      <c r="K29" s="28"/>
      <c r="L29" s="25"/>
      <c r="M29" s="17"/>
      <c r="N29" s="9" t="str">
        <f t="shared" si="1"/>
        <v/>
      </c>
      <c r="O29" s="9" t="str">
        <f t="shared" si="0"/>
        <v/>
      </c>
      <c r="P29" s="18"/>
      <c r="Q29" s="31"/>
    </row>
    <row r="30" spans="1:17" ht="15" customHeight="1" x14ac:dyDescent="0.35">
      <c r="A30" s="23"/>
      <c r="B30" s="25"/>
      <c r="C30" s="25"/>
      <c r="D30" s="25"/>
      <c r="E30" s="25"/>
      <c r="F30" s="25"/>
      <c r="G30" s="25"/>
      <c r="H30" s="26"/>
      <c r="I30" s="27"/>
      <c r="J30" s="25"/>
      <c r="K30" s="28"/>
      <c r="L30" s="25"/>
      <c r="M30" s="17"/>
      <c r="N30" s="9" t="str">
        <f t="shared" si="1"/>
        <v/>
      </c>
      <c r="O30" s="9" t="str">
        <f t="shared" si="0"/>
        <v/>
      </c>
      <c r="P30" s="18"/>
      <c r="Q30" s="31"/>
    </row>
    <row r="31" spans="1:17" ht="15" customHeight="1" x14ac:dyDescent="0.35">
      <c r="A31" s="23"/>
      <c r="B31" s="25"/>
      <c r="C31" s="25"/>
      <c r="D31" s="25"/>
      <c r="E31" s="25"/>
      <c r="F31" s="25"/>
      <c r="G31" s="25"/>
      <c r="H31" s="26"/>
      <c r="I31" s="27"/>
      <c r="J31" s="25"/>
      <c r="K31" s="28"/>
      <c r="L31" s="25"/>
      <c r="M31" s="17"/>
      <c r="N31" s="9" t="str">
        <f t="shared" si="1"/>
        <v/>
      </c>
      <c r="O31" s="9" t="str">
        <f t="shared" si="0"/>
        <v/>
      </c>
      <c r="P31" s="18"/>
      <c r="Q31" s="31"/>
    </row>
    <row r="32" spans="1:17" ht="15" customHeight="1" x14ac:dyDescent="0.35">
      <c r="A32" s="29"/>
      <c r="B32" s="25"/>
      <c r="C32" s="25"/>
      <c r="D32" s="25"/>
      <c r="E32" s="25"/>
      <c r="F32" s="25"/>
      <c r="G32" s="25"/>
      <c r="H32" s="26"/>
      <c r="I32" s="27"/>
      <c r="J32" s="25"/>
      <c r="K32" s="28"/>
      <c r="L32" s="17"/>
      <c r="M32" s="17"/>
      <c r="N32" s="9" t="str">
        <f t="shared" si="1"/>
        <v/>
      </c>
      <c r="O32" s="9" t="str">
        <f t="shared" si="0"/>
        <v/>
      </c>
      <c r="P32" s="18"/>
      <c r="Q32" s="31"/>
    </row>
    <row r="33" spans="1:17" ht="15" customHeight="1" x14ac:dyDescent="0.35">
      <c r="A33" s="29"/>
      <c r="B33" s="25"/>
      <c r="C33" s="25"/>
      <c r="D33" s="25"/>
      <c r="E33" s="25"/>
      <c r="F33" s="25"/>
      <c r="G33" s="25"/>
      <c r="H33" s="26"/>
      <c r="I33" s="27"/>
      <c r="J33" s="25"/>
      <c r="K33" s="28"/>
      <c r="L33" s="17"/>
      <c r="M33" s="17"/>
      <c r="N33" s="9" t="str">
        <f t="shared" si="1"/>
        <v/>
      </c>
      <c r="O33" s="9" t="str">
        <f t="shared" si="0"/>
        <v/>
      </c>
      <c r="P33" s="18"/>
      <c r="Q33" s="31"/>
    </row>
    <row r="34" spans="1:17" ht="15" customHeight="1" x14ac:dyDescent="0.35">
      <c r="A34" s="29"/>
      <c r="B34" s="25"/>
      <c r="C34" s="25"/>
      <c r="D34" s="25"/>
      <c r="E34" s="25"/>
      <c r="F34" s="25"/>
      <c r="G34" s="25"/>
      <c r="H34" s="26"/>
      <c r="I34" s="27"/>
      <c r="J34" s="25"/>
      <c r="K34" s="28"/>
      <c r="L34" s="17"/>
      <c r="M34" s="17"/>
      <c r="N34" s="9" t="str">
        <f t="shared" si="1"/>
        <v/>
      </c>
      <c r="O34" s="9" t="str">
        <f t="shared" si="0"/>
        <v/>
      </c>
      <c r="P34" s="18"/>
      <c r="Q34" s="31"/>
    </row>
    <row r="35" spans="1:17" ht="15" customHeight="1" x14ac:dyDescent="0.35">
      <c r="A35" s="29"/>
      <c r="B35" s="25"/>
      <c r="C35" s="25"/>
      <c r="D35" s="25"/>
      <c r="E35" s="25"/>
      <c r="F35" s="25"/>
      <c r="G35" s="25"/>
      <c r="H35" s="26"/>
      <c r="I35" s="27"/>
      <c r="J35" s="25"/>
      <c r="K35" s="28"/>
      <c r="L35" s="17"/>
      <c r="M35" s="17"/>
      <c r="N35" s="9" t="str">
        <f t="shared" si="1"/>
        <v/>
      </c>
      <c r="O35" s="9" t="str">
        <f t="shared" si="0"/>
        <v/>
      </c>
      <c r="P35" s="18"/>
      <c r="Q35" s="31"/>
    </row>
    <row r="36" spans="1:17" ht="15" customHeight="1" x14ac:dyDescent="0.35">
      <c r="A36" s="29"/>
      <c r="B36" s="25"/>
      <c r="C36" s="25"/>
      <c r="D36" s="25"/>
      <c r="E36" s="25"/>
      <c r="F36" s="25"/>
      <c r="G36" s="25"/>
      <c r="H36" s="26"/>
      <c r="I36" s="27"/>
      <c r="J36" s="25"/>
      <c r="K36" s="28"/>
      <c r="L36" s="17"/>
      <c r="M36" s="17"/>
      <c r="N36" s="9" t="str">
        <f t="shared" si="1"/>
        <v/>
      </c>
      <c r="O36" s="9" t="str">
        <f t="shared" si="0"/>
        <v/>
      </c>
      <c r="P36" s="18"/>
      <c r="Q36" s="31"/>
    </row>
    <row r="37" spans="1:17" ht="15" customHeight="1" x14ac:dyDescent="0.35">
      <c r="A37" s="29"/>
      <c r="B37" s="25"/>
      <c r="C37" s="25"/>
      <c r="D37" s="25"/>
      <c r="E37" s="25"/>
      <c r="F37" s="25"/>
      <c r="G37" s="25"/>
      <c r="H37" s="26"/>
      <c r="I37" s="27"/>
      <c r="J37" s="25"/>
      <c r="K37" s="28"/>
      <c r="L37" s="17"/>
      <c r="M37" s="17"/>
      <c r="N37" s="9" t="str">
        <f t="shared" si="1"/>
        <v/>
      </c>
      <c r="O37" s="9" t="str">
        <f t="shared" si="0"/>
        <v/>
      </c>
      <c r="P37" s="18"/>
      <c r="Q37" s="31"/>
    </row>
    <row r="38" spans="1:17" ht="15" customHeight="1" x14ac:dyDescent="0.35">
      <c r="A38" s="29"/>
      <c r="B38" s="25"/>
      <c r="C38" s="25"/>
      <c r="D38" s="25"/>
      <c r="E38" s="25"/>
      <c r="F38" s="25"/>
      <c r="G38" s="25"/>
      <c r="H38" s="26"/>
      <c r="I38" s="27"/>
      <c r="J38" s="25"/>
      <c r="K38" s="28"/>
      <c r="L38" s="17"/>
      <c r="M38" s="17"/>
      <c r="N38" s="9" t="str">
        <f t="shared" si="1"/>
        <v/>
      </c>
      <c r="O38" s="9" t="str">
        <f t="shared" si="0"/>
        <v/>
      </c>
      <c r="P38" s="18"/>
      <c r="Q38" s="31"/>
    </row>
    <row r="39" spans="1:17" ht="15" customHeight="1" x14ac:dyDescent="0.35">
      <c r="A39" s="29"/>
      <c r="B39" s="25"/>
      <c r="C39" s="25"/>
      <c r="D39" s="25"/>
      <c r="E39" s="25"/>
      <c r="F39" s="25"/>
      <c r="G39" s="25"/>
      <c r="H39" s="26"/>
      <c r="I39" s="27"/>
      <c r="J39" s="25"/>
      <c r="K39" s="28"/>
      <c r="L39" s="17"/>
      <c r="M39" s="17"/>
      <c r="N39" s="9" t="str">
        <f t="shared" si="1"/>
        <v/>
      </c>
      <c r="O39" s="9" t="str">
        <f t="shared" si="0"/>
        <v/>
      </c>
      <c r="P39" s="18"/>
      <c r="Q39" s="31"/>
    </row>
    <row r="40" spans="1:17" ht="15" customHeight="1" x14ac:dyDescent="0.35">
      <c r="A40" s="29"/>
      <c r="B40" s="25"/>
      <c r="C40" s="25"/>
      <c r="D40" s="25"/>
      <c r="E40" s="25"/>
      <c r="F40" s="25"/>
      <c r="G40" s="25"/>
      <c r="H40" s="26"/>
      <c r="I40" s="27"/>
      <c r="J40" s="25"/>
      <c r="K40" s="28"/>
      <c r="L40" s="17"/>
      <c r="M40" s="17"/>
      <c r="N40" s="9" t="str">
        <f t="shared" si="1"/>
        <v/>
      </c>
      <c r="O40" s="9" t="str">
        <f t="shared" si="0"/>
        <v/>
      </c>
      <c r="P40" s="18"/>
      <c r="Q40" s="31"/>
    </row>
    <row r="41" spans="1:17" ht="15" customHeight="1" x14ac:dyDescent="0.35">
      <c r="A41" s="29"/>
      <c r="B41" s="25"/>
      <c r="C41" s="25"/>
      <c r="D41" s="25"/>
      <c r="E41" s="25"/>
      <c r="F41" s="25"/>
      <c r="G41" s="25"/>
      <c r="H41" s="26"/>
      <c r="I41" s="27"/>
      <c r="J41" s="25"/>
      <c r="K41" s="28"/>
      <c r="L41" s="17"/>
      <c r="M41" s="17"/>
      <c r="N41" s="9" t="str">
        <f t="shared" si="1"/>
        <v/>
      </c>
      <c r="O41" s="9" t="str">
        <f t="shared" si="0"/>
        <v/>
      </c>
      <c r="P41" s="18"/>
      <c r="Q41" s="31"/>
    </row>
    <row r="42" spans="1:17" ht="15" customHeight="1" x14ac:dyDescent="0.35">
      <c r="A42" s="29"/>
      <c r="B42" s="25"/>
      <c r="C42" s="25"/>
      <c r="D42" s="25"/>
      <c r="E42" s="25"/>
      <c r="F42" s="25"/>
      <c r="G42" s="25"/>
      <c r="H42" s="26"/>
      <c r="I42" s="27"/>
      <c r="J42" s="25"/>
      <c r="K42" s="28"/>
      <c r="L42" s="17"/>
      <c r="M42" s="17"/>
      <c r="N42" s="9" t="str">
        <f t="shared" si="1"/>
        <v/>
      </c>
      <c r="O42" s="9" t="str">
        <f t="shared" si="0"/>
        <v/>
      </c>
      <c r="P42" s="18"/>
      <c r="Q42" s="17"/>
    </row>
    <row r="43" spans="1:17" ht="15" customHeight="1" x14ac:dyDescent="0.35">
      <c r="A43" s="29"/>
      <c r="B43" s="25"/>
      <c r="C43" s="25"/>
      <c r="D43" s="25"/>
      <c r="E43" s="25"/>
      <c r="F43" s="25"/>
      <c r="G43" s="25"/>
      <c r="H43" s="26"/>
      <c r="I43" s="27"/>
      <c r="J43" s="25"/>
      <c r="K43" s="28"/>
      <c r="L43" s="17"/>
      <c r="M43" s="17"/>
      <c r="N43" s="9" t="str">
        <f t="shared" si="1"/>
        <v/>
      </c>
      <c r="O43" s="9" t="str">
        <f t="shared" si="0"/>
        <v/>
      </c>
      <c r="P43" s="18"/>
      <c r="Q43" s="17"/>
    </row>
    <row r="44" spans="1:17" ht="15" customHeight="1" x14ac:dyDescent="0.35">
      <c r="A44" s="29"/>
      <c r="B44" s="25"/>
      <c r="C44" s="25"/>
      <c r="D44" s="25"/>
      <c r="E44" s="25"/>
      <c r="F44" s="25"/>
      <c r="G44" s="25"/>
      <c r="H44" s="26"/>
      <c r="I44" s="27"/>
      <c r="J44" s="25"/>
      <c r="K44" s="28"/>
      <c r="L44" s="17"/>
      <c r="M44" s="17"/>
      <c r="N44" s="9" t="str">
        <f t="shared" si="1"/>
        <v/>
      </c>
      <c r="O44" s="9" t="str">
        <f t="shared" si="0"/>
        <v/>
      </c>
      <c r="P44" s="18"/>
      <c r="Q44" s="17"/>
    </row>
    <row r="45" spans="1:17" ht="15" customHeight="1" x14ac:dyDescent="0.35">
      <c r="A45" s="29"/>
      <c r="B45" s="25"/>
      <c r="C45" s="25"/>
      <c r="D45" s="25"/>
      <c r="E45" s="25"/>
      <c r="F45" s="25"/>
      <c r="G45" s="25"/>
      <c r="H45" s="26"/>
      <c r="I45" s="27"/>
      <c r="J45" s="25"/>
      <c r="K45" s="28"/>
      <c r="L45" s="17"/>
      <c r="M45" s="17"/>
      <c r="N45" s="9" t="str">
        <f t="shared" si="1"/>
        <v/>
      </c>
      <c r="O45" s="9" t="str">
        <f t="shared" si="0"/>
        <v/>
      </c>
      <c r="P45" s="18"/>
      <c r="Q45" s="17"/>
    </row>
    <row r="46" spans="1:17" ht="15" customHeight="1" x14ac:dyDescent="0.35">
      <c r="A46" s="29"/>
      <c r="B46" s="25"/>
      <c r="C46" s="25"/>
      <c r="D46" s="25"/>
      <c r="E46" s="25"/>
      <c r="F46" s="25"/>
      <c r="G46" s="25"/>
      <c r="H46" s="26"/>
      <c r="I46" s="27"/>
      <c r="J46" s="25"/>
      <c r="K46" s="28"/>
      <c r="L46" s="17"/>
      <c r="M46" s="17"/>
      <c r="N46" s="9" t="str">
        <f t="shared" si="1"/>
        <v/>
      </c>
      <c r="O46" s="9" t="str">
        <f t="shared" si="0"/>
        <v/>
      </c>
      <c r="P46" s="18"/>
      <c r="Q46" s="17"/>
    </row>
    <row r="47" spans="1:17" ht="15" customHeight="1" x14ac:dyDescent="0.35">
      <c r="A47" s="29"/>
      <c r="B47" s="25"/>
      <c r="C47" s="25"/>
      <c r="D47" s="25"/>
      <c r="E47" s="25"/>
      <c r="F47" s="25"/>
      <c r="G47" s="25"/>
      <c r="H47" s="26"/>
      <c r="I47" s="27"/>
      <c r="J47" s="25"/>
      <c r="K47" s="28"/>
      <c r="L47" s="17"/>
      <c r="M47" s="17"/>
      <c r="N47" s="9" t="str">
        <f t="shared" si="1"/>
        <v/>
      </c>
      <c r="O47" s="9" t="str">
        <f t="shared" si="0"/>
        <v/>
      </c>
      <c r="P47" s="18"/>
      <c r="Q47" s="17"/>
    </row>
    <row r="48" spans="1:17" ht="15" customHeight="1" x14ac:dyDescent="0.35">
      <c r="A48" s="29"/>
      <c r="B48" s="25"/>
      <c r="C48" s="25"/>
      <c r="D48" s="25"/>
      <c r="E48" s="25"/>
      <c r="F48" s="25"/>
      <c r="G48" s="25"/>
      <c r="H48" s="26"/>
      <c r="I48" s="27"/>
      <c r="J48" s="25"/>
      <c r="K48" s="28"/>
      <c r="L48" s="17"/>
      <c r="M48" s="17"/>
      <c r="N48" s="9" t="str">
        <f t="shared" si="1"/>
        <v/>
      </c>
      <c r="O48" s="9" t="str">
        <f t="shared" si="0"/>
        <v/>
      </c>
      <c r="P48" s="18"/>
      <c r="Q48" s="17"/>
    </row>
    <row r="49" spans="1:17" ht="15" customHeight="1" x14ac:dyDescent="0.35">
      <c r="A49" s="29"/>
      <c r="B49" s="25"/>
      <c r="C49" s="25"/>
      <c r="D49" s="25"/>
      <c r="E49" s="25"/>
      <c r="F49" s="25"/>
      <c r="G49" s="25"/>
      <c r="H49" s="26"/>
      <c r="I49" s="27"/>
      <c r="J49" s="25"/>
      <c r="K49" s="28"/>
      <c r="L49" s="17"/>
      <c r="M49" s="17"/>
      <c r="N49" s="9" t="str">
        <f t="shared" si="1"/>
        <v/>
      </c>
      <c r="O49" s="9" t="str">
        <f t="shared" si="0"/>
        <v/>
      </c>
      <c r="P49" s="18"/>
      <c r="Q49" s="17"/>
    </row>
    <row r="50" spans="1:17" ht="15" customHeight="1" x14ac:dyDescent="0.35">
      <c r="A50" s="29"/>
      <c r="B50" s="25"/>
      <c r="C50" s="25"/>
      <c r="D50" s="25"/>
      <c r="E50" s="25"/>
      <c r="F50" s="25"/>
      <c r="G50" s="25"/>
      <c r="H50" s="26"/>
      <c r="I50" s="27"/>
      <c r="J50" s="25"/>
      <c r="K50" s="28"/>
      <c r="L50" s="17"/>
      <c r="M50" s="17"/>
      <c r="N50" s="9" t="str">
        <f t="shared" si="1"/>
        <v/>
      </c>
      <c r="O50" s="9" t="str">
        <f t="shared" si="0"/>
        <v/>
      </c>
      <c r="P50" s="18"/>
      <c r="Q50" s="17"/>
    </row>
    <row r="51" spans="1:17" ht="15" customHeight="1" x14ac:dyDescent="0.35">
      <c r="A51" s="29"/>
      <c r="B51" s="25"/>
      <c r="C51" s="25"/>
      <c r="D51" s="25"/>
      <c r="E51" s="25"/>
      <c r="F51" s="25"/>
      <c r="G51" s="25"/>
      <c r="H51" s="26"/>
      <c r="I51" s="27"/>
      <c r="J51" s="25"/>
      <c r="K51" s="28"/>
      <c r="L51" s="17"/>
      <c r="M51" s="17"/>
      <c r="N51" s="9" t="str">
        <f t="shared" si="1"/>
        <v/>
      </c>
      <c r="O51" s="9" t="str">
        <f t="shared" si="0"/>
        <v/>
      </c>
      <c r="P51" s="18"/>
      <c r="Q51" s="17"/>
    </row>
    <row r="52" spans="1:17" ht="15" customHeight="1" x14ac:dyDescent="0.35">
      <c r="A52" s="29"/>
      <c r="B52" s="25"/>
      <c r="C52" s="25"/>
      <c r="D52" s="25"/>
      <c r="E52" s="25"/>
      <c r="F52" s="25"/>
      <c r="G52" s="25"/>
      <c r="H52" s="26"/>
      <c r="I52" s="27"/>
      <c r="J52" s="25"/>
      <c r="K52" s="28"/>
      <c r="L52" s="17"/>
      <c r="M52" s="17"/>
      <c r="N52" s="9" t="str">
        <f t="shared" si="1"/>
        <v/>
      </c>
      <c r="O52" s="9" t="str">
        <f t="shared" si="0"/>
        <v/>
      </c>
      <c r="P52" s="18"/>
      <c r="Q52" s="17"/>
    </row>
    <row r="53" spans="1:17" ht="15" customHeight="1" x14ac:dyDescent="0.35">
      <c r="A53" s="29"/>
      <c r="B53" s="25"/>
      <c r="C53" s="25"/>
      <c r="D53" s="25"/>
      <c r="E53" s="25"/>
      <c r="F53" s="25"/>
      <c r="G53" s="25"/>
      <c r="H53" s="26"/>
      <c r="I53" s="27"/>
      <c r="J53" s="25"/>
      <c r="K53" s="28"/>
      <c r="L53" s="17"/>
      <c r="M53" s="17"/>
      <c r="N53" s="9" t="str">
        <f t="shared" si="1"/>
        <v/>
      </c>
      <c r="O53" s="9" t="str">
        <f t="shared" si="0"/>
        <v/>
      </c>
      <c r="P53" s="18"/>
      <c r="Q53" s="17"/>
    </row>
    <row r="54" spans="1:17" ht="15" customHeight="1" x14ac:dyDescent="0.35">
      <c r="A54" s="29"/>
      <c r="B54" s="25"/>
      <c r="C54" s="25"/>
      <c r="D54" s="25"/>
      <c r="E54" s="25"/>
      <c r="F54" s="25"/>
      <c r="G54" s="25"/>
      <c r="H54" s="26"/>
      <c r="I54" s="27"/>
      <c r="J54" s="25"/>
      <c r="K54" s="28"/>
      <c r="L54" s="17"/>
      <c r="M54" s="17"/>
      <c r="N54" s="9" t="str">
        <f t="shared" si="1"/>
        <v/>
      </c>
      <c r="O54" s="9" t="str">
        <f t="shared" si="0"/>
        <v/>
      </c>
      <c r="P54" s="18"/>
      <c r="Q54" s="17"/>
    </row>
    <row r="55" spans="1:17" ht="15" customHeight="1" x14ac:dyDescent="0.35">
      <c r="A55" s="29"/>
      <c r="B55" s="25"/>
      <c r="C55" s="25"/>
      <c r="D55" s="25"/>
      <c r="E55" s="25"/>
      <c r="F55" s="25"/>
      <c r="G55" s="25"/>
      <c r="H55" s="26"/>
      <c r="I55" s="27"/>
      <c r="J55" s="25"/>
      <c r="K55" s="28"/>
      <c r="L55" s="17"/>
      <c r="M55" s="17"/>
      <c r="N55" s="9" t="str">
        <f t="shared" si="1"/>
        <v/>
      </c>
      <c r="O55" s="9" t="str">
        <f t="shared" si="0"/>
        <v/>
      </c>
      <c r="P55" s="18"/>
      <c r="Q55" s="17"/>
    </row>
    <row r="56" spans="1:17" ht="15" customHeight="1" x14ac:dyDescent="0.35">
      <c r="A56" s="29"/>
      <c r="B56" s="25"/>
      <c r="C56" s="25"/>
      <c r="D56" s="25"/>
      <c r="E56" s="25"/>
      <c r="F56" s="25"/>
      <c r="G56" s="25"/>
      <c r="H56" s="26"/>
      <c r="I56" s="27"/>
      <c r="J56" s="25"/>
      <c r="K56" s="28"/>
      <c r="L56" s="17"/>
      <c r="M56" s="17"/>
      <c r="N56" s="9" t="str">
        <f t="shared" si="1"/>
        <v/>
      </c>
      <c r="O56" s="9" t="str">
        <f t="shared" si="0"/>
        <v/>
      </c>
      <c r="P56" s="18"/>
      <c r="Q56" s="17"/>
    </row>
    <row r="57" spans="1:17" ht="15" customHeight="1" x14ac:dyDescent="0.35">
      <c r="A57" s="29"/>
      <c r="B57" s="25"/>
      <c r="C57" s="25"/>
      <c r="D57" s="25"/>
      <c r="E57" s="25"/>
      <c r="F57" s="25"/>
      <c r="G57" s="25"/>
      <c r="H57" s="26"/>
      <c r="I57" s="27"/>
      <c r="J57" s="25"/>
      <c r="K57" s="28"/>
      <c r="L57" s="17"/>
      <c r="M57" s="17"/>
      <c r="N57" s="9" t="str">
        <f t="shared" si="1"/>
        <v/>
      </c>
      <c r="O57" s="9" t="str">
        <f t="shared" si="0"/>
        <v/>
      </c>
      <c r="P57" s="18"/>
      <c r="Q57" s="17"/>
    </row>
    <row r="58" spans="1:17" ht="15" customHeight="1" x14ac:dyDescent="0.35">
      <c r="A58" s="29"/>
      <c r="B58" s="25"/>
      <c r="C58" s="25"/>
      <c r="D58" s="25"/>
      <c r="E58" s="25"/>
      <c r="F58" s="25"/>
      <c r="G58" s="25"/>
      <c r="H58" s="26"/>
      <c r="I58" s="27"/>
      <c r="J58" s="25"/>
      <c r="K58" s="28"/>
      <c r="L58" s="17"/>
      <c r="M58" s="17"/>
      <c r="N58" s="9" t="str">
        <f t="shared" si="1"/>
        <v/>
      </c>
      <c r="O58" s="9" t="str">
        <f t="shared" si="0"/>
        <v/>
      </c>
      <c r="P58" s="18"/>
      <c r="Q58" s="17"/>
    </row>
    <row r="59" spans="1:17" ht="15" customHeight="1" x14ac:dyDescent="0.35">
      <c r="A59" s="29"/>
      <c r="B59" s="25"/>
      <c r="C59" s="25"/>
      <c r="D59" s="25"/>
      <c r="E59" s="25"/>
      <c r="F59" s="25"/>
      <c r="G59" s="25"/>
      <c r="H59" s="26"/>
      <c r="I59" s="27"/>
      <c r="J59" s="25"/>
      <c r="K59" s="28"/>
      <c r="L59" s="17"/>
      <c r="M59" s="17"/>
      <c r="N59" s="9" t="str">
        <f t="shared" si="1"/>
        <v/>
      </c>
      <c r="O59" s="9" t="str">
        <f t="shared" si="0"/>
        <v/>
      </c>
      <c r="P59" s="18"/>
      <c r="Q59" s="17"/>
    </row>
    <row r="60" spans="1:17" ht="15" customHeight="1" x14ac:dyDescent="0.35">
      <c r="A60" s="29"/>
      <c r="B60" s="25"/>
      <c r="C60" s="25"/>
      <c r="D60" s="25"/>
      <c r="E60" s="25"/>
      <c r="F60" s="25"/>
      <c r="G60" s="25"/>
      <c r="H60" s="26"/>
      <c r="I60" s="27"/>
      <c r="J60" s="25"/>
      <c r="K60" s="28"/>
      <c r="L60" s="17"/>
      <c r="M60" s="17"/>
      <c r="N60" s="9" t="str">
        <f t="shared" si="1"/>
        <v/>
      </c>
      <c r="O60" s="9" t="str">
        <f t="shared" si="0"/>
        <v/>
      </c>
      <c r="P60" s="18"/>
      <c r="Q60" s="17"/>
    </row>
    <row r="61" spans="1:17" ht="15" customHeight="1" x14ac:dyDescent="0.35">
      <c r="A61" s="29"/>
      <c r="B61" s="25"/>
      <c r="C61" s="25"/>
      <c r="D61" s="25"/>
      <c r="E61" s="25"/>
      <c r="F61" s="25"/>
      <c r="G61" s="25"/>
      <c r="H61" s="26"/>
      <c r="I61" s="27"/>
      <c r="J61" s="25"/>
      <c r="K61" s="28"/>
      <c r="L61" s="17"/>
      <c r="M61" s="17"/>
      <c r="N61" s="9" t="str">
        <f t="shared" si="1"/>
        <v/>
      </c>
      <c r="O61" s="9" t="str">
        <f t="shared" si="0"/>
        <v/>
      </c>
      <c r="P61" s="18"/>
      <c r="Q61" s="17"/>
    </row>
    <row r="62" spans="1:17" ht="15" customHeight="1" x14ac:dyDescent="0.35">
      <c r="A62" s="29"/>
      <c r="B62" s="25"/>
      <c r="C62" s="25"/>
      <c r="D62" s="25"/>
      <c r="E62" s="25"/>
      <c r="F62" s="25"/>
      <c r="G62" s="25"/>
      <c r="H62" s="26"/>
      <c r="I62" s="27"/>
      <c r="J62" s="25"/>
      <c r="K62" s="28"/>
      <c r="L62" s="17"/>
      <c r="M62" s="17"/>
      <c r="N62" s="9" t="str">
        <f t="shared" si="1"/>
        <v/>
      </c>
      <c r="O62" s="9" t="str">
        <f t="shared" si="0"/>
        <v/>
      </c>
      <c r="P62" s="18"/>
      <c r="Q62" s="17"/>
    </row>
    <row r="63" spans="1:17" ht="15" customHeight="1" x14ac:dyDescent="0.35">
      <c r="A63" s="29"/>
      <c r="B63" s="25"/>
      <c r="C63" s="25"/>
      <c r="D63" s="25"/>
      <c r="E63" s="25"/>
      <c r="F63" s="25"/>
      <c r="G63" s="25"/>
      <c r="H63" s="26"/>
      <c r="I63" s="27"/>
      <c r="J63" s="25"/>
      <c r="K63" s="28"/>
      <c r="L63" s="17"/>
      <c r="M63" s="17"/>
      <c r="N63" s="9" t="str">
        <f t="shared" si="1"/>
        <v/>
      </c>
      <c r="O63" s="9" t="str">
        <f t="shared" si="0"/>
        <v/>
      </c>
      <c r="P63" s="18"/>
      <c r="Q63" s="17"/>
    </row>
    <row r="64" spans="1:17" ht="15" customHeight="1" x14ac:dyDescent="0.35">
      <c r="A64" s="29"/>
      <c r="B64" s="25"/>
      <c r="C64" s="25"/>
      <c r="D64" s="25"/>
      <c r="E64" s="25"/>
      <c r="F64" s="25"/>
      <c r="G64" s="25"/>
      <c r="H64" s="26"/>
      <c r="I64" s="27"/>
      <c r="J64" s="25"/>
      <c r="K64" s="28"/>
      <c r="L64" s="17"/>
      <c r="M64" s="17"/>
      <c r="N64" s="9" t="str">
        <f t="shared" si="1"/>
        <v/>
      </c>
      <c r="O64" s="9" t="str">
        <f t="shared" si="0"/>
        <v/>
      </c>
      <c r="P64" s="18"/>
      <c r="Q64" s="17"/>
    </row>
    <row r="65" spans="1:17" ht="15" customHeight="1" x14ac:dyDescent="0.35">
      <c r="A65" s="29"/>
      <c r="B65" s="25"/>
      <c r="C65" s="25"/>
      <c r="D65" s="25"/>
      <c r="E65" s="25"/>
      <c r="F65" s="25"/>
      <c r="G65" s="25"/>
      <c r="H65" s="26"/>
      <c r="I65" s="27"/>
      <c r="J65" s="25"/>
      <c r="K65" s="28"/>
      <c r="L65" s="17"/>
      <c r="M65" s="17"/>
      <c r="N65" s="9" t="str">
        <f t="shared" si="1"/>
        <v/>
      </c>
      <c r="O65" s="9" t="str">
        <f t="shared" si="0"/>
        <v/>
      </c>
      <c r="P65" s="18"/>
      <c r="Q65" s="17"/>
    </row>
    <row r="66" spans="1:17" ht="15" customHeight="1" x14ac:dyDescent="0.35">
      <c r="A66" s="29"/>
      <c r="B66" s="25"/>
      <c r="C66" s="25"/>
      <c r="D66" s="25"/>
      <c r="E66" s="25"/>
      <c r="F66" s="25"/>
      <c r="G66" s="25"/>
      <c r="H66" s="26"/>
      <c r="I66" s="27"/>
      <c r="J66" s="25"/>
      <c r="K66" s="28"/>
      <c r="L66" s="17"/>
      <c r="M66" s="17"/>
      <c r="N66" s="9" t="str">
        <f t="shared" ref="N66:N129" si="2">IF(M66="","",IF(M66="Push",0,IF(M66="Void",0,IF(M66="W",IF(H66&gt;0,K66*H66/100,K66*100/ABS(H66)),-K66))))</f>
        <v/>
      </c>
      <c r="O66" s="9" t="str">
        <f t="shared" si="0"/>
        <v/>
      </c>
      <c r="P66" s="18"/>
      <c r="Q66" s="17"/>
    </row>
    <row r="67" spans="1:17" ht="15" customHeight="1" x14ac:dyDescent="0.35">
      <c r="A67" s="29"/>
      <c r="B67" s="25"/>
      <c r="C67" s="25"/>
      <c r="D67" s="25"/>
      <c r="E67" s="25"/>
      <c r="F67" s="25"/>
      <c r="G67" s="25"/>
      <c r="H67" s="26"/>
      <c r="I67" s="27"/>
      <c r="J67" s="25"/>
      <c r="K67" s="28"/>
      <c r="L67" s="17"/>
      <c r="M67" s="17"/>
      <c r="N67" s="9" t="str">
        <f t="shared" si="2"/>
        <v/>
      </c>
      <c r="O67" s="9" t="str">
        <f t="shared" ref="O67:O130" si="3">IF(N67="","",O66+N67)</f>
        <v/>
      </c>
      <c r="P67" s="18"/>
      <c r="Q67" s="17"/>
    </row>
    <row r="68" spans="1:17" ht="15" customHeight="1" x14ac:dyDescent="0.35">
      <c r="A68" s="29"/>
      <c r="B68" s="25"/>
      <c r="C68" s="25"/>
      <c r="D68" s="25"/>
      <c r="E68" s="25"/>
      <c r="F68" s="25"/>
      <c r="G68" s="25"/>
      <c r="H68" s="26"/>
      <c r="I68" s="27"/>
      <c r="J68" s="25"/>
      <c r="K68" s="28"/>
      <c r="L68" s="17"/>
      <c r="M68" s="17"/>
      <c r="N68" s="9" t="str">
        <f t="shared" si="2"/>
        <v/>
      </c>
      <c r="O68" s="9" t="str">
        <f t="shared" si="3"/>
        <v/>
      </c>
      <c r="P68" s="18"/>
      <c r="Q68" s="17"/>
    </row>
    <row r="69" spans="1:17" ht="15" customHeight="1" x14ac:dyDescent="0.35">
      <c r="A69" s="29"/>
      <c r="B69" s="25"/>
      <c r="C69" s="25"/>
      <c r="D69" s="25"/>
      <c r="E69" s="25"/>
      <c r="F69" s="25"/>
      <c r="G69" s="25"/>
      <c r="H69" s="26"/>
      <c r="I69" s="27"/>
      <c r="J69" s="25"/>
      <c r="K69" s="28"/>
      <c r="L69" s="17"/>
      <c r="M69" s="17"/>
      <c r="N69" s="9" t="str">
        <f t="shared" si="2"/>
        <v/>
      </c>
      <c r="O69" s="9" t="str">
        <f t="shared" si="3"/>
        <v/>
      </c>
      <c r="P69" s="18"/>
      <c r="Q69" s="17"/>
    </row>
    <row r="70" spans="1:17" ht="15" customHeight="1" x14ac:dyDescent="0.35">
      <c r="A70" s="29"/>
      <c r="B70" s="25"/>
      <c r="C70" s="25"/>
      <c r="D70" s="25"/>
      <c r="E70" s="25"/>
      <c r="F70" s="25"/>
      <c r="G70" s="25"/>
      <c r="H70" s="26"/>
      <c r="I70" s="27"/>
      <c r="J70" s="25"/>
      <c r="K70" s="28"/>
      <c r="L70" s="17"/>
      <c r="M70" s="17"/>
      <c r="N70" s="9" t="str">
        <f t="shared" si="2"/>
        <v/>
      </c>
      <c r="O70" s="9" t="str">
        <f t="shared" si="3"/>
        <v/>
      </c>
      <c r="P70" s="18"/>
      <c r="Q70" s="17"/>
    </row>
    <row r="71" spans="1:17" ht="15" customHeight="1" x14ac:dyDescent="0.35">
      <c r="A71" s="29"/>
      <c r="B71" s="25"/>
      <c r="C71" s="25"/>
      <c r="D71" s="25"/>
      <c r="E71" s="25"/>
      <c r="F71" s="25"/>
      <c r="G71" s="25"/>
      <c r="H71" s="26"/>
      <c r="I71" s="27"/>
      <c r="J71" s="25"/>
      <c r="K71" s="28"/>
      <c r="L71" s="17"/>
      <c r="M71" s="17"/>
      <c r="N71" s="9" t="str">
        <f t="shared" si="2"/>
        <v/>
      </c>
      <c r="O71" s="9" t="str">
        <f t="shared" si="3"/>
        <v/>
      </c>
      <c r="P71" s="18"/>
      <c r="Q71" s="17"/>
    </row>
    <row r="72" spans="1:17" ht="15" customHeight="1" x14ac:dyDescent="0.35">
      <c r="A72" s="29"/>
      <c r="B72" s="25"/>
      <c r="C72" s="25"/>
      <c r="D72" s="25"/>
      <c r="E72" s="25"/>
      <c r="F72" s="25"/>
      <c r="G72" s="25"/>
      <c r="H72" s="26"/>
      <c r="I72" s="27"/>
      <c r="J72" s="25"/>
      <c r="K72" s="28"/>
      <c r="L72" s="17"/>
      <c r="M72" s="17"/>
      <c r="N72" s="9" t="str">
        <f t="shared" si="2"/>
        <v/>
      </c>
      <c r="O72" s="9" t="str">
        <f t="shared" si="3"/>
        <v/>
      </c>
      <c r="P72" s="18"/>
      <c r="Q72" s="17"/>
    </row>
    <row r="73" spans="1:17" ht="15" customHeight="1" x14ac:dyDescent="0.35">
      <c r="A73" s="29"/>
      <c r="B73" s="25"/>
      <c r="C73" s="25"/>
      <c r="D73" s="25"/>
      <c r="E73" s="25"/>
      <c r="F73" s="25"/>
      <c r="G73" s="25"/>
      <c r="H73" s="26"/>
      <c r="I73" s="27"/>
      <c r="J73" s="25"/>
      <c r="K73" s="28"/>
      <c r="L73" s="17"/>
      <c r="M73" s="17"/>
      <c r="N73" s="9" t="str">
        <f t="shared" si="2"/>
        <v/>
      </c>
      <c r="O73" s="9" t="str">
        <f t="shared" si="3"/>
        <v/>
      </c>
      <c r="P73" s="18"/>
      <c r="Q73" s="17"/>
    </row>
    <row r="74" spans="1:17" ht="15" customHeight="1" x14ac:dyDescent="0.35">
      <c r="A74" s="29"/>
      <c r="B74" s="25"/>
      <c r="C74" s="25"/>
      <c r="D74" s="25"/>
      <c r="E74" s="25"/>
      <c r="F74" s="25"/>
      <c r="G74" s="25"/>
      <c r="H74" s="26"/>
      <c r="I74" s="27"/>
      <c r="J74" s="25"/>
      <c r="K74" s="28"/>
      <c r="L74" s="17"/>
      <c r="M74" s="17"/>
      <c r="N74" s="9" t="str">
        <f t="shared" si="2"/>
        <v/>
      </c>
      <c r="O74" s="9" t="str">
        <f t="shared" si="3"/>
        <v/>
      </c>
      <c r="P74" s="18"/>
      <c r="Q74" s="17"/>
    </row>
    <row r="75" spans="1:17" ht="15" customHeight="1" x14ac:dyDescent="0.35">
      <c r="A75" s="29"/>
      <c r="B75" s="25"/>
      <c r="C75" s="25"/>
      <c r="D75" s="25"/>
      <c r="E75" s="25"/>
      <c r="F75" s="25"/>
      <c r="G75" s="25"/>
      <c r="H75" s="26"/>
      <c r="I75" s="27"/>
      <c r="J75" s="25"/>
      <c r="K75" s="28"/>
      <c r="L75" s="17"/>
      <c r="M75" s="17"/>
      <c r="N75" s="9" t="str">
        <f t="shared" si="2"/>
        <v/>
      </c>
      <c r="O75" s="9" t="str">
        <f t="shared" si="3"/>
        <v/>
      </c>
      <c r="P75" s="18"/>
      <c r="Q75" s="17"/>
    </row>
    <row r="76" spans="1:17" ht="15" customHeight="1" x14ac:dyDescent="0.35">
      <c r="A76" s="29"/>
      <c r="B76" s="25"/>
      <c r="C76" s="25"/>
      <c r="D76" s="25"/>
      <c r="E76" s="25"/>
      <c r="F76" s="25"/>
      <c r="G76" s="25"/>
      <c r="H76" s="26"/>
      <c r="I76" s="27"/>
      <c r="J76" s="25"/>
      <c r="K76" s="28"/>
      <c r="L76" s="17"/>
      <c r="M76" s="17"/>
      <c r="N76" s="9" t="str">
        <f t="shared" si="2"/>
        <v/>
      </c>
      <c r="O76" s="9" t="str">
        <f t="shared" si="3"/>
        <v/>
      </c>
      <c r="P76" s="18"/>
      <c r="Q76" s="17"/>
    </row>
    <row r="77" spans="1:17" ht="15" customHeight="1" x14ac:dyDescent="0.35">
      <c r="A77" s="29"/>
      <c r="B77" s="25"/>
      <c r="C77" s="25"/>
      <c r="D77" s="25"/>
      <c r="E77" s="25"/>
      <c r="F77" s="25"/>
      <c r="G77" s="25"/>
      <c r="H77" s="26"/>
      <c r="I77" s="27"/>
      <c r="J77" s="25"/>
      <c r="K77" s="28"/>
      <c r="L77" s="17"/>
      <c r="M77" s="17"/>
      <c r="N77" s="9" t="str">
        <f t="shared" si="2"/>
        <v/>
      </c>
      <c r="O77" s="9" t="str">
        <f t="shared" si="3"/>
        <v/>
      </c>
      <c r="P77" s="18"/>
      <c r="Q77" s="17"/>
    </row>
    <row r="78" spans="1:17" ht="15" customHeight="1" x14ac:dyDescent="0.35">
      <c r="A78" s="29"/>
      <c r="B78" s="25"/>
      <c r="C78" s="25"/>
      <c r="D78" s="25"/>
      <c r="E78" s="25"/>
      <c r="F78" s="25"/>
      <c r="G78" s="25"/>
      <c r="H78" s="26"/>
      <c r="I78" s="27"/>
      <c r="J78" s="25"/>
      <c r="K78" s="28"/>
      <c r="L78" s="17"/>
      <c r="M78" s="17"/>
      <c r="N78" s="9" t="str">
        <f t="shared" si="2"/>
        <v/>
      </c>
      <c r="O78" s="9" t="str">
        <f t="shared" si="3"/>
        <v/>
      </c>
      <c r="P78" s="18"/>
      <c r="Q78" s="17"/>
    </row>
    <row r="79" spans="1:17" ht="15" customHeight="1" x14ac:dyDescent="0.35">
      <c r="A79" s="29"/>
      <c r="B79" s="25"/>
      <c r="C79" s="25"/>
      <c r="D79" s="25"/>
      <c r="E79" s="25"/>
      <c r="F79" s="25"/>
      <c r="G79" s="25"/>
      <c r="H79" s="26"/>
      <c r="I79" s="27"/>
      <c r="J79" s="25"/>
      <c r="K79" s="28"/>
      <c r="L79" s="17"/>
      <c r="M79" s="17"/>
      <c r="N79" s="9" t="str">
        <f t="shared" si="2"/>
        <v/>
      </c>
      <c r="O79" s="9" t="str">
        <f t="shared" si="3"/>
        <v/>
      </c>
      <c r="P79" s="18"/>
      <c r="Q79" s="17"/>
    </row>
    <row r="80" spans="1:17" ht="15" customHeight="1" x14ac:dyDescent="0.35">
      <c r="A80" s="29"/>
      <c r="B80" s="25"/>
      <c r="C80" s="25"/>
      <c r="D80" s="25"/>
      <c r="E80" s="25"/>
      <c r="F80" s="25"/>
      <c r="G80" s="25"/>
      <c r="H80" s="26"/>
      <c r="I80" s="27"/>
      <c r="J80" s="25"/>
      <c r="K80" s="28"/>
      <c r="L80" s="17"/>
      <c r="M80" s="17"/>
      <c r="N80" s="9" t="str">
        <f t="shared" si="2"/>
        <v/>
      </c>
      <c r="O80" s="9" t="str">
        <f t="shared" si="3"/>
        <v/>
      </c>
      <c r="P80" s="18"/>
      <c r="Q80" s="17"/>
    </row>
    <row r="81" spans="1:17" ht="15" customHeight="1" x14ac:dyDescent="0.35">
      <c r="A81" s="29"/>
      <c r="B81" s="25"/>
      <c r="C81" s="25"/>
      <c r="D81" s="25"/>
      <c r="E81" s="25"/>
      <c r="F81" s="25"/>
      <c r="G81" s="25"/>
      <c r="H81" s="26"/>
      <c r="I81" s="27"/>
      <c r="J81" s="25"/>
      <c r="K81" s="28"/>
      <c r="L81" s="17"/>
      <c r="M81" s="17"/>
      <c r="N81" s="9" t="str">
        <f t="shared" si="2"/>
        <v/>
      </c>
      <c r="O81" s="9" t="str">
        <f t="shared" si="3"/>
        <v/>
      </c>
      <c r="P81" s="18"/>
      <c r="Q81" s="17"/>
    </row>
    <row r="82" spans="1:17" ht="15" customHeight="1" x14ac:dyDescent="0.35">
      <c r="A82" s="29"/>
      <c r="B82" s="25"/>
      <c r="C82" s="25"/>
      <c r="D82" s="25"/>
      <c r="E82" s="25"/>
      <c r="F82" s="25"/>
      <c r="G82" s="25"/>
      <c r="H82" s="26"/>
      <c r="I82" s="27"/>
      <c r="J82" s="25"/>
      <c r="K82" s="28"/>
      <c r="L82" s="17"/>
      <c r="M82" s="17"/>
      <c r="N82" s="9" t="str">
        <f t="shared" si="2"/>
        <v/>
      </c>
      <c r="O82" s="9" t="str">
        <f t="shared" si="3"/>
        <v/>
      </c>
      <c r="P82" s="18"/>
      <c r="Q82" s="17"/>
    </row>
    <row r="83" spans="1:17" ht="15" customHeight="1" x14ac:dyDescent="0.35">
      <c r="A83" s="29"/>
      <c r="B83" s="25"/>
      <c r="C83" s="25"/>
      <c r="D83" s="25"/>
      <c r="E83" s="25"/>
      <c r="F83" s="25"/>
      <c r="G83" s="25"/>
      <c r="H83" s="26"/>
      <c r="I83" s="27"/>
      <c r="J83" s="25"/>
      <c r="K83" s="28"/>
      <c r="L83" s="17"/>
      <c r="M83" s="17"/>
      <c r="N83" s="9" t="str">
        <f t="shared" si="2"/>
        <v/>
      </c>
      <c r="O83" s="9" t="str">
        <f t="shared" si="3"/>
        <v/>
      </c>
      <c r="P83" s="18"/>
      <c r="Q83" s="17"/>
    </row>
    <row r="84" spans="1:17" ht="15" customHeight="1" x14ac:dyDescent="0.35">
      <c r="A84" s="29"/>
      <c r="B84" s="25"/>
      <c r="C84" s="25"/>
      <c r="D84" s="25"/>
      <c r="E84" s="25"/>
      <c r="F84" s="25"/>
      <c r="G84" s="25"/>
      <c r="H84" s="26"/>
      <c r="I84" s="27"/>
      <c r="J84" s="25"/>
      <c r="K84" s="28"/>
      <c r="L84" s="17"/>
      <c r="M84" s="17"/>
      <c r="N84" s="9" t="str">
        <f t="shared" si="2"/>
        <v/>
      </c>
      <c r="O84" s="9" t="str">
        <f t="shared" si="3"/>
        <v/>
      </c>
      <c r="P84" s="18"/>
      <c r="Q84" s="17"/>
    </row>
    <row r="85" spans="1:17" ht="15" customHeight="1" x14ac:dyDescent="0.35">
      <c r="A85" s="29"/>
      <c r="B85" s="25"/>
      <c r="C85" s="25"/>
      <c r="D85" s="25"/>
      <c r="E85" s="25"/>
      <c r="F85" s="25"/>
      <c r="G85" s="25"/>
      <c r="H85" s="26"/>
      <c r="I85" s="27"/>
      <c r="J85" s="25"/>
      <c r="K85" s="28"/>
      <c r="L85" s="17"/>
      <c r="M85" s="17"/>
      <c r="N85" s="9" t="str">
        <f t="shared" si="2"/>
        <v/>
      </c>
      <c r="O85" s="9" t="str">
        <f t="shared" si="3"/>
        <v/>
      </c>
      <c r="P85" s="18"/>
      <c r="Q85" s="17"/>
    </row>
    <row r="86" spans="1:17" ht="15" customHeight="1" x14ac:dyDescent="0.35">
      <c r="A86" s="29"/>
      <c r="B86" s="25"/>
      <c r="C86" s="25"/>
      <c r="D86" s="25"/>
      <c r="E86" s="25"/>
      <c r="F86" s="25"/>
      <c r="G86" s="25"/>
      <c r="H86" s="26"/>
      <c r="I86" s="27"/>
      <c r="J86" s="25"/>
      <c r="K86" s="28"/>
      <c r="L86" s="17"/>
      <c r="M86" s="17"/>
      <c r="N86" s="9" t="str">
        <f t="shared" si="2"/>
        <v/>
      </c>
      <c r="O86" s="9" t="str">
        <f t="shared" si="3"/>
        <v/>
      </c>
      <c r="P86" s="18"/>
      <c r="Q86" s="17"/>
    </row>
    <row r="87" spans="1:17" ht="15" customHeight="1" x14ac:dyDescent="0.35">
      <c r="A87" s="29"/>
      <c r="B87" s="25"/>
      <c r="C87" s="25"/>
      <c r="D87" s="25"/>
      <c r="E87" s="25"/>
      <c r="F87" s="25"/>
      <c r="G87" s="25"/>
      <c r="H87" s="26"/>
      <c r="I87" s="27"/>
      <c r="J87" s="25"/>
      <c r="K87" s="28"/>
      <c r="L87" s="17"/>
      <c r="M87" s="17"/>
      <c r="N87" s="9" t="str">
        <f t="shared" si="2"/>
        <v/>
      </c>
      <c r="O87" s="9" t="str">
        <f t="shared" si="3"/>
        <v/>
      </c>
      <c r="P87" s="18"/>
      <c r="Q87" s="17"/>
    </row>
    <row r="88" spans="1:17" ht="15" customHeight="1" x14ac:dyDescent="0.35">
      <c r="A88" s="29"/>
      <c r="B88" s="25"/>
      <c r="C88" s="25"/>
      <c r="D88" s="25"/>
      <c r="E88" s="25"/>
      <c r="F88" s="25"/>
      <c r="G88" s="25"/>
      <c r="H88" s="26"/>
      <c r="I88" s="27"/>
      <c r="J88" s="25"/>
      <c r="K88" s="28"/>
      <c r="L88" s="17"/>
      <c r="M88" s="17"/>
      <c r="N88" s="9" t="str">
        <f t="shared" si="2"/>
        <v/>
      </c>
      <c r="O88" s="9" t="str">
        <f t="shared" si="3"/>
        <v/>
      </c>
      <c r="P88" s="18"/>
      <c r="Q88" s="17"/>
    </row>
    <row r="89" spans="1:17" ht="15" customHeight="1" x14ac:dyDescent="0.35">
      <c r="A89" s="29"/>
      <c r="B89" s="25"/>
      <c r="C89" s="25"/>
      <c r="D89" s="25"/>
      <c r="E89" s="25"/>
      <c r="F89" s="25"/>
      <c r="G89" s="25"/>
      <c r="H89" s="26"/>
      <c r="I89" s="27"/>
      <c r="J89" s="25"/>
      <c r="K89" s="28"/>
      <c r="L89" s="17"/>
      <c r="M89" s="17"/>
      <c r="N89" s="9" t="str">
        <f t="shared" si="2"/>
        <v/>
      </c>
      <c r="O89" s="9" t="str">
        <f t="shared" si="3"/>
        <v/>
      </c>
      <c r="P89" s="18"/>
      <c r="Q89" s="17"/>
    </row>
    <row r="90" spans="1:17" ht="15" customHeight="1" x14ac:dyDescent="0.35">
      <c r="A90" s="29"/>
      <c r="B90" s="25"/>
      <c r="C90" s="25"/>
      <c r="D90" s="25"/>
      <c r="E90" s="25"/>
      <c r="F90" s="25"/>
      <c r="G90" s="25"/>
      <c r="H90" s="26"/>
      <c r="I90" s="27"/>
      <c r="J90" s="25"/>
      <c r="K90" s="28"/>
      <c r="L90" s="17"/>
      <c r="M90" s="17"/>
      <c r="N90" s="9" t="str">
        <f t="shared" si="2"/>
        <v/>
      </c>
      <c r="O90" s="9" t="str">
        <f t="shared" si="3"/>
        <v/>
      </c>
      <c r="P90" s="18"/>
      <c r="Q90" s="17"/>
    </row>
    <row r="91" spans="1:17" ht="15" customHeight="1" x14ac:dyDescent="0.35">
      <c r="A91" s="29"/>
      <c r="B91" s="25"/>
      <c r="C91" s="25"/>
      <c r="D91" s="25"/>
      <c r="E91" s="25"/>
      <c r="F91" s="25"/>
      <c r="G91" s="25"/>
      <c r="H91" s="26"/>
      <c r="I91" s="27"/>
      <c r="J91" s="25"/>
      <c r="K91" s="28"/>
      <c r="L91" s="17"/>
      <c r="M91" s="17"/>
      <c r="N91" s="9" t="str">
        <f t="shared" si="2"/>
        <v/>
      </c>
      <c r="O91" s="9" t="str">
        <f t="shared" si="3"/>
        <v/>
      </c>
      <c r="P91" s="18"/>
      <c r="Q91" s="17"/>
    </row>
    <row r="92" spans="1:17" ht="15" customHeight="1" x14ac:dyDescent="0.35">
      <c r="A92" s="29"/>
      <c r="B92" s="25"/>
      <c r="C92" s="25"/>
      <c r="D92" s="25"/>
      <c r="E92" s="25"/>
      <c r="F92" s="25"/>
      <c r="G92" s="25"/>
      <c r="H92" s="26"/>
      <c r="I92" s="27"/>
      <c r="J92" s="25"/>
      <c r="K92" s="28"/>
      <c r="L92" s="17"/>
      <c r="M92" s="17"/>
      <c r="N92" s="9" t="str">
        <f t="shared" si="2"/>
        <v/>
      </c>
      <c r="O92" s="9" t="str">
        <f t="shared" si="3"/>
        <v/>
      </c>
      <c r="P92" s="18"/>
      <c r="Q92" s="17"/>
    </row>
    <row r="93" spans="1:17" ht="15" customHeight="1" x14ac:dyDescent="0.35">
      <c r="A93" s="29"/>
      <c r="B93" s="25"/>
      <c r="C93" s="25"/>
      <c r="D93" s="25"/>
      <c r="E93" s="25"/>
      <c r="F93" s="25"/>
      <c r="G93" s="25"/>
      <c r="H93" s="26"/>
      <c r="I93" s="27"/>
      <c r="J93" s="25"/>
      <c r="K93" s="28"/>
      <c r="L93" s="17"/>
      <c r="M93" s="17"/>
      <c r="N93" s="9" t="str">
        <f t="shared" si="2"/>
        <v/>
      </c>
      <c r="O93" s="9" t="str">
        <f t="shared" si="3"/>
        <v/>
      </c>
      <c r="P93" s="18"/>
      <c r="Q93" s="17"/>
    </row>
    <row r="94" spans="1:17" ht="15" customHeight="1" x14ac:dyDescent="0.35">
      <c r="A94" s="29"/>
      <c r="B94" s="25"/>
      <c r="C94" s="25"/>
      <c r="D94" s="25"/>
      <c r="E94" s="25"/>
      <c r="F94" s="25"/>
      <c r="G94" s="25"/>
      <c r="H94" s="26"/>
      <c r="I94" s="27"/>
      <c r="J94" s="25"/>
      <c r="K94" s="28"/>
      <c r="L94" s="17"/>
      <c r="M94" s="17"/>
      <c r="N94" s="9" t="str">
        <f t="shared" si="2"/>
        <v/>
      </c>
      <c r="O94" s="9" t="str">
        <f t="shared" si="3"/>
        <v/>
      </c>
      <c r="P94" s="18"/>
      <c r="Q94" s="17"/>
    </row>
    <row r="95" spans="1:17" ht="15" customHeight="1" x14ac:dyDescent="0.35">
      <c r="A95" s="29"/>
      <c r="B95" s="25"/>
      <c r="C95" s="25"/>
      <c r="D95" s="25"/>
      <c r="E95" s="25"/>
      <c r="F95" s="25"/>
      <c r="G95" s="25"/>
      <c r="H95" s="26"/>
      <c r="I95" s="27"/>
      <c r="J95" s="25"/>
      <c r="K95" s="28"/>
      <c r="L95" s="17"/>
      <c r="M95" s="17"/>
      <c r="N95" s="9" t="str">
        <f t="shared" si="2"/>
        <v/>
      </c>
      <c r="O95" s="9" t="str">
        <f t="shared" si="3"/>
        <v/>
      </c>
      <c r="P95" s="18"/>
      <c r="Q95" s="17"/>
    </row>
    <row r="96" spans="1:17" ht="15" customHeight="1" x14ac:dyDescent="0.35">
      <c r="A96" s="29"/>
      <c r="B96" s="25"/>
      <c r="C96" s="25"/>
      <c r="D96" s="25"/>
      <c r="E96" s="25"/>
      <c r="F96" s="25"/>
      <c r="G96" s="25"/>
      <c r="H96" s="26"/>
      <c r="I96" s="27"/>
      <c r="J96" s="25"/>
      <c r="K96" s="28"/>
      <c r="L96" s="17"/>
      <c r="M96" s="17"/>
      <c r="N96" s="9" t="str">
        <f t="shared" si="2"/>
        <v/>
      </c>
      <c r="O96" s="9" t="str">
        <f t="shared" si="3"/>
        <v/>
      </c>
      <c r="P96" s="18"/>
      <c r="Q96" s="17"/>
    </row>
    <row r="97" spans="1:17" ht="15" customHeight="1" x14ac:dyDescent="0.35">
      <c r="A97" s="29"/>
      <c r="B97" s="25"/>
      <c r="C97" s="25"/>
      <c r="D97" s="25"/>
      <c r="E97" s="25"/>
      <c r="F97" s="25"/>
      <c r="G97" s="25"/>
      <c r="H97" s="26"/>
      <c r="I97" s="27"/>
      <c r="J97" s="25"/>
      <c r="K97" s="28"/>
      <c r="L97" s="17"/>
      <c r="M97" s="17"/>
      <c r="N97" s="9" t="str">
        <f t="shared" si="2"/>
        <v/>
      </c>
      <c r="O97" s="9" t="str">
        <f t="shared" si="3"/>
        <v/>
      </c>
      <c r="P97" s="18"/>
      <c r="Q97" s="17"/>
    </row>
    <row r="98" spans="1:17" ht="15" customHeight="1" x14ac:dyDescent="0.35">
      <c r="A98" s="29"/>
      <c r="B98" s="25"/>
      <c r="C98" s="25"/>
      <c r="D98" s="25"/>
      <c r="E98" s="25"/>
      <c r="F98" s="25"/>
      <c r="G98" s="25"/>
      <c r="H98" s="26"/>
      <c r="I98" s="27"/>
      <c r="J98" s="25"/>
      <c r="K98" s="28"/>
      <c r="L98" s="17"/>
      <c r="M98" s="17"/>
      <c r="N98" s="9" t="str">
        <f t="shared" si="2"/>
        <v/>
      </c>
      <c r="O98" s="9" t="str">
        <f t="shared" si="3"/>
        <v/>
      </c>
      <c r="P98" s="18"/>
      <c r="Q98" s="17"/>
    </row>
    <row r="99" spans="1:17" ht="15" customHeight="1" x14ac:dyDescent="0.35">
      <c r="A99" s="29"/>
      <c r="B99" s="25"/>
      <c r="C99" s="25"/>
      <c r="D99" s="25"/>
      <c r="E99" s="25"/>
      <c r="F99" s="25"/>
      <c r="G99" s="25"/>
      <c r="H99" s="26"/>
      <c r="I99" s="27"/>
      <c r="J99" s="25"/>
      <c r="K99" s="28"/>
      <c r="L99" s="17"/>
      <c r="M99" s="17"/>
      <c r="N99" s="9" t="str">
        <f t="shared" si="2"/>
        <v/>
      </c>
      <c r="O99" s="9" t="str">
        <f t="shared" si="3"/>
        <v/>
      </c>
      <c r="P99" s="18"/>
      <c r="Q99" s="17"/>
    </row>
    <row r="100" spans="1:17" ht="15" customHeight="1" x14ac:dyDescent="0.35">
      <c r="A100" s="29"/>
      <c r="B100" s="25"/>
      <c r="C100" s="25"/>
      <c r="D100" s="25"/>
      <c r="E100" s="25"/>
      <c r="F100" s="25"/>
      <c r="G100" s="25"/>
      <c r="H100" s="26"/>
      <c r="I100" s="27"/>
      <c r="J100" s="25"/>
      <c r="K100" s="28"/>
      <c r="L100" s="17"/>
      <c r="M100" s="17"/>
      <c r="N100" s="9" t="str">
        <f t="shared" si="2"/>
        <v/>
      </c>
      <c r="O100" s="9" t="str">
        <f t="shared" si="3"/>
        <v/>
      </c>
      <c r="P100" s="18"/>
      <c r="Q100" s="17"/>
    </row>
    <row r="101" spans="1:17" ht="15" customHeight="1" x14ac:dyDescent="0.35">
      <c r="A101" s="29"/>
      <c r="B101" s="25"/>
      <c r="C101" s="25"/>
      <c r="D101" s="25"/>
      <c r="E101" s="25"/>
      <c r="F101" s="25"/>
      <c r="G101" s="25"/>
      <c r="H101" s="26"/>
      <c r="I101" s="27"/>
      <c r="J101" s="25"/>
      <c r="K101" s="28"/>
      <c r="L101" s="17"/>
      <c r="M101" s="17"/>
      <c r="N101" s="9" t="str">
        <f t="shared" si="2"/>
        <v/>
      </c>
      <c r="O101" s="9" t="str">
        <f t="shared" si="3"/>
        <v/>
      </c>
      <c r="P101" s="18"/>
      <c r="Q101" s="17"/>
    </row>
    <row r="102" spans="1:17" ht="15" customHeight="1" x14ac:dyDescent="0.35">
      <c r="A102" s="29"/>
      <c r="B102" s="25"/>
      <c r="C102" s="25"/>
      <c r="D102" s="25"/>
      <c r="E102" s="25"/>
      <c r="F102" s="25"/>
      <c r="G102" s="25"/>
      <c r="H102" s="26"/>
      <c r="I102" s="27"/>
      <c r="J102" s="25"/>
      <c r="K102" s="28"/>
      <c r="L102" s="17"/>
      <c r="M102" s="17"/>
      <c r="N102" s="9" t="str">
        <f t="shared" si="2"/>
        <v/>
      </c>
      <c r="O102" s="9" t="str">
        <f t="shared" si="3"/>
        <v/>
      </c>
      <c r="P102" s="18"/>
      <c r="Q102" s="17"/>
    </row>
    <row r="103" spans="1:17" ht="15" customHeight="1" x14ac:dyDescent="0.35">
      <c r="A103" s="29"/>
      <c r="B103" s="25"/>
      <c r="C103" s="25"/>
      <c r="D103" s="25"/>
      <c r="E103" s="25"/>
      <c r="F103" s="25"/>
      <c r="G103" s="25"/>
      <c r="H103" s="26"/>
      <c r="I103" s="27"/>
      <c r="J103" s="25"/>
      <c r="K103" s="28"/>
      <c r="L103" s="17"/>
      <c r="M103" s="17"/>
      <c r="N103" s="9" t="str">
        <f t="shared" si="2"/>
        <v/>
      </c>
      <c r="O103" s="9" t="str">
        <f t="shared" si="3"/>
        <v/>
      </c>
      <c r="P103" s="18"/>
      <c r="Q103" s="17"/>
    </row>
    <row r="104" spans="1:17" ht="15" customHeight="1" x14ac:dyDescent="0.35">
      <c r="A104" s="29"/>
      <c r="B104" s="25"/>
      <c r="C104" s="25"/>
      <c r="D104" s="25"/>
      <c r="E104" s="25"/>
      <c r="F104" s="25"/>
      <c r="G104" s="25"/>
      <c r="H104" s="26"/>
      <c r="I104" s="27"/>
      <c r="J104" s="25"/>
      <c r="K104" s="28"/>
      <c r="L104" s="17"/>
      <c r="M104" s="17"/>
      <c r="N104" s="9" t="str">
        <f t="shared" si="2"/>
        <v/>
      </c>
      <c r="O104" s="9" t="str">
        <f t="shared" si="3"/>
        <v/>
      </c>
      <c r="P104" s="18"/>
      <c r="Q104" s="17"/>
    </row>
    <row r="105" spans="1:17" ht="15" customHeight="1" x14ac:dyDescent="0.35">
      <c r="A105" s="29"/>
      <c r="B105" s="25"/>
      <c r="C105" s="25"/>
      <c r="D105" s="25"/>
      <c r="E105" s="25"/>
      <c r="F105" s="25"/>
      <c r="G105" s="25"/>
      <c r="H105" s="26"/>
      <c r="I105" s="27"/>
      <c r="J105" s="25"/>
      <c r="K105" s="28"/>
      <c r="L105" s="17"/>
      <c r="M105" s="17"/>
      <c r="N105" s="9" t="str">
        <f t="shared" si="2"/>
        <v/>
      </c>
      <c r="O105" s="9" t="str">
        <f t="shared" si="3"/>
        <v/>
      </c>
      <c r="P105" s="18"/>
      <c r="Q105" s="17"/>
    </row>
    <row r="106" spans="1:17" ht="15" customHeight="1" x14ac:dyDescent="0.35">
      <c r="A106" s="29"/>
      <c r="B106" s="25"/>
      <c r="C106" s="25"/>
      <c r="D106" s="25"/>
      <c r="E106" s="25"/>
      <c r="F106" s="25"/>
      <c r="G106" s="25"/>
      <c r="H106" s="26"/>
      <c r="I106" s="27"/>
      <c r="J106" s="25"/>
      <c r="K106" s="28"/>
      <c r="L106" s="17"/>
      <c r="M106" s="17"/>
      <c r="N106" s="9" t="str">
        <f t="shared" si="2"/>
        <v/>
      </c>
      <c r="O106" s="9" t="str">
        <f t="shared" si="3"/>
        <v/>
      </c>
      <c r="P106" s="18"/>
      <c r="Q106" s="17"/>
    </row>
    <row r="107" spans="1:17" ht="15" customHeight="1" x14ac:dyDescent="0.35">
      <c r="A107" s="29"/>
      <c r="B107" s="25"/>
      <c r="C107" s="25"/>
      <c r="D107" s="25"/>
      <c r="E107" s="25"/>
      <c r="F107" s="25"/>
      <c r="G107" s="25"/>
      <c r="H107" s="26"/>
      <c r="I107" s="27"/>
      <c r="J107" s="25"/>
      <c r="K107" s="28"/>
      <c r="L107" s="17"/>
      <c r="M107" s="17"/>
      <c r="N107" s="9" t="str">
        <f t="shared" si="2"/>
        <v/>
      </c>
      <c r="O107" s="9" t="str">
        <f t="shared" si="3"/>
        <v/>
      </c>
      <c r="P107" s="18"/>
      <c r="Q107" s="17"/>
    </row>
    <row r="108" spans="1:17" ht="15" customHeight="1" x14ac:dyDescent="0.35">
      <c r="A108" s="29"/>
      <c r="B108" s="25"/>
      <c r="C108" s="25"/>
      <c r="D108" s="25"/>
      <c r="E108" s="25"/>
      <c r="F108" s="25"/>
      <c r="G108" s="25"/>
      <c r="H108" s="26"/>
      <c r="I108" s="27"/>
      <c r="J108" s="25"/>
      <c r="K108" s="28"/>
      <c r="L108" s="17"/>
      <c r="M108" s="17"/>
      <c r="N108" s="9" t="str">
        <f t="shared" si="2"/>
        <v/>
      </c>
      <c r="O108" s="9" t="str">
        <f t="shared" si="3"/>
        <v/>
      </c>
      <c r="P108" s="18"/>
      <c r="Q108" s="17"/>
    </row>
    <row r="109" spans="1:17" ht="15" customHeight="1" x14ac:dyDescent="0.35">
      <c r="A109" s="29"/>
      <c r="B109" s="25"/>
      <c r="C109" s="25"/>
      <c r="D109" s="25"/>
      <c r="E109" s="25"/>
      <c r="F109" s="25"/>
      <c r="G109" s="25"/>
      <c r="H109" s="26"/>
      <c r="I109" s="27"/>
      <c r="J109" s="25"/>
      <c r="K109" s="28"/>
      <c r="L109" s="17"/>
      <c r="M109" s="17"/>
      <c r="N109" s="9" t="str">
        <f t="shared" si="2"/>
        <v/>
      </c>
      <c r="O109" s="9" t="str">
        <f t="shared" si="3"/>
        <v/>
      </c>
      <c r="P109" s="18"/>
      <c r="Q109" s="17"/>
    </row>
    <row r="110" spans="1:17" ht="15" customHeight="1" x14ac:dyDescent="0.35">
      <c r="A110" s="29"/>
      <c r="B110" s="25"/>
      <c r="C110" s="25"/>
      <c r="D110" s="25"/>
      <c r="E110" s="25"/>
      <c r="F110" s="25"/>
      <c r="G110" s="25"/>
      <c r="H110" s="26"/>
      <c r="I110" s="27"/>
      <c r="J110" s="25"/>
      <c r="K110" s="28"/>
      <c r="L110" s="17"/>
      <c r="M110" s="17"/>
      <c r="N110" s="9" t="str">
        <f t="shared" si="2"/>
        <v/>
      </c>
      <c r="O110" s="9" t="str">
        <f t="shared" si="3"/>
        <v/>
      </c>
      <c r="P110" s="18"/>
      <c r="Q110" s="17"/>
    </row>
    <row r="111" spans="1:17" ht="15" customHeight="1" x14ac:dyDescent="0.35">
      <c r="A111" s="29"/>
      <c r="B111" s="25"/>
      <c r="C111" s="25"/>
      <c r="D111" s="25"/>
      <c r="E111" s="25"/>
      <c r="F111" s="25"/>
      <c r="G111" s="25"/>
      <c r="H111" s="26"/>
      <c r="I111" s="27"/>
      <c r="J111" s="25"/>
      <c r="K111" s="28"/>
      <c r="L111" s="17"/>
      <c r="M111" s="17"/>
      <c r="N111" s="9" t="str">
        <f t="shared" si="2"/>
        <v/>
      </c>
      <c r="O111" s="9" t="str">
        <f t="shared" si="3"/>
        <v/>
      </c>
      <c r="P111" s="18"/>
      <c r="Q111" s="17"/>
    </row>
    <row r="112" spans="1:17" ht="15" customHeight="1" x14ac:dyDescent="0.35">
      <c r="A112" s="29"/>
      <c r="B112" s="25"/>
      <c r="C112" s="25"/>
      <c r="D112" s="25"/>
      <c r="E112" s="25"/>
      <c r="F112" s="25"/>
      <c r="G112" s="25"/>
      <c r="H112" s="26"/>
      <c r="I112" s="27"/>
      <c r="J112" s="25"/>
      <c r="K112" s="28"/>
      <c r="L112" s="17"/>
      <c r="M112" s="17"/>
      <c r="N112" s="9" t="str">
        <f t="shared" si="2"/>
        <v/>
      </c>
      <c r="O112" s="9" t="str">
        <f t="shared" si="3"/>
        <v/>
      </c>
      <c r="P112" s="18"/>
      <c r="Q112" s="17"/>
    </row>
    <row r="113" spans="1:17" ht="15" customHeight="1" x14ac:dyDescent="0.35">
      <c r="A113" s="29"/>
      <c r="B113" s="25"/>
      <c r="C113" s="25"/>
      <c r="D113" s="25"/>
      <c r="E113" s="25"/>
      <c r="F113" s="25"/>
      <c r="G113" s="25"/>
      <c r="H113" s="26"/>
      <c r="I113" s="27"/>
      <c r="J113" s="25"/>
      <c r="K113" s="28"/>
      <c r="L113" s="17"/>
      <c r="M113" s="17"/>
      <c r="N113" s="9" t="str">
        <f t="shared" si="2"/>
        <v/>
      </c>
      <c r="O113" s="9" t="str">
        <f t="shared" si="3"/>
        <v/>
      </c>
      <c r="P113" s="18"/>
      <c r="Q113" s="17"/>
    </row>
    <row r="114" spans="1:17" ht="15" customHeight="1" x14ac:dyDescent="0.35">
      <c r="A114" s="29"/>
      <c r="B114" s="25"/>
      <c r="C114" s="25"/>
      <c r="D114" s="25"/>
      <c r="E114" s="25"/>
      <c r="F114" s="25"/>
      <c r="G114" s="25"/>
      <c r="H114" s="26"/>
      <c r="I114" s="27"/>
      <c r="J114" s="25"/>
      <c r="K114" s="28"/>
      <c r="L114" s="17"/>
      <c r="M114" s="17"/>
      <c r="N114" s="9" t="str">
        <f t="shared" si="2"/>
        <v/>
      </c>
      <c r="O114" s="9" t="str">
        <f t="shared" si="3"/>
        <v/>
      </c>
      <c r="P114" s="18"/>
      <c r="Q114" s="17"/>
    </row>
    <row r="115" spans="1:17" ht="15" customHeight="1" x14ac:dyDescent="0.35">
      <c r="A115" s="29"/>
      <c r="B115" s="25"/>
      <c r="C115" s="25"/>
      <c r="D115" s="25"/>
      <c r="E115" s="25"/>
      <c r="F115" s="25"/>
      <c r="G115" s="25"/>
      <c r="H115" s="26"/>
      <c r="I115" s="27"/>
      <c r="J115" s="25"/>
      <c r="K115" s="28"/>
      <c r="L115" s="17"/>
      <c r="M115" s="17"/>
      <c r="N115" s="9" t="str">
        <f t="shared" si="2"/>
        <v/>
      </c>
      <c r="O115" s="9" t="str">
        <f t="shared" si="3"/>
        <v/>
      </c>
      <c r="P115" s="18"/>
      <c r="Q115" s="17"/>
    </row>
    <row r="116" spans="1:17" ht="15" customHeight="1" x14ac:dyDescent="0.35">
      <c r="A116" s="29"/>
      <c r="B116" s="25"/>
      <c r="C116" s="25"/>
      <c r="D116" s="25"/>
      <c r="E116" s="25"/>
      <c r="F116" s="25"/>
      <c r="G116" s="25"/>
      <c r="H116" s="26"/>
      <c r="I116" s="27"/>
      <c r="J116" s="25"/>
      <c r="K116" s="28"/>
      <c r="L116" s="17"/>
      <c r="M116" s="17"/>
      <c r="N116" s="9" t="str">
        <f t="shared" si="2"/>
        <v/>
      </c>
      <c r="O116" s="9" t="str">
        <f t="shared" si="3"/>
        <v/>
      </c>
      <c r="P116" s="18"/>
      <c r="Q116" s="17"/>
    </row>
    <row r="117" spans="1:17" ht="15" customHeight="1" x14ac:dyDescent="0.35">
      <c r="A117" s="29"/>
      <c r="B117" s="25"/>
      <c r="C117" s="25"/>
      <c r="D117" s="25"/>
      <c r="E117" s="25"/>
      <c r="F117" s="25"/>
      <c r="G117" s="25"/>
      <c r="H117" s="26"/>
      <c r="I117" s="27"/>
      <c r="J117" s="25"/>
      <c r="K117" s="28"/>
      <c r="L117" s="17"/>
      <c r="M117" s="17"/>
      <c r="N117" s="9" t="str">
        <f t="shared" si="2"/>
        <v/>
      </c>
      <c r="O117" s="9" t="str">
        <f t="shared" si="3"/>
        <v/>
      </c>
      <c r="P117" s="18"/>
      <c r="Q117" s="17"/>
    </row>
    <row r="118" spans="1:17" ht="15" customHeight="1" x14ac:dyDescent="0.35">
      <c r="A118" s="29"/>
      <c r="B118" s="25"/>
      <c r="C118" s="25"/>
      <c r="D118" s="25"/>
      <c r="E118" s="25"/>
      <c r="F118" s="25"/>
      <c r="G118" s="25"/>
      <c r="H118" s="26"/>
      <c r="I118" s="27"/>
      <c r="J118" s="25"/>
      <c r="K118" s="28"/>
      <c r="L118" s="17"/>
      <c r="M118" s="17"/>
      <c r="N118" s="9" t="str">
        <f t="shared" si="2"/>
        <v/>
      </c>
      <c r="O118" s="9" t="str">
        <f t="shared" si="3"/>
        <v/>
      </c>
      <c r="P118" s="18"/>
      <c r="Q118" s="17"/>
    </row>
    <row r="119" spans="1:17" ht="15" customHeight="1" x14ac:dyDescent="0.35">
      <c r="A119" s="29"/>
      <c r="B119" s="25"/>
      <c r="C119" s="25"/>
      <c r="D119" s="25"/>
      <c r="E119" s="25"/>
      <c r="F119" s="25"/>
      <c r="G119" s="25"/>
      <c r="H119" s="26"/>
      <c r="I119" s="27"/>
      <c r="J119" s="25"/>
      <c r="K119" s="28"/>
      <c r="L119" s="17"/>
      <c r="M119" s="17"/>
      <c r="N119" s="9" t="str">
        <f t="shared" si="2"/>
        <v/>
      </c>
      <c r="O119" s="9" t="str">
        <f t="shared" si="3"/>
        <v/>
      </c>
      <c r="P119" s="18"/>
      <c r="Q119" s="17"/>
    </row>
    <row r="120" spans="1:17" ht="15" customHeight="1" x14ac:dyDescent="0.35">
      <c r="A120" s="29"/>
      <c r="B120" s="25"/>
      <c r="C120" s="25"/>
      <c r="D120" s="25"/>
      <c r="E120" s="25"/>
      <c r="F120" s="25"/>
      <c r="G120" s="25"/>
      <c r="H120" s="26"/>
      <c r="I120" s="27"/>
      <c r="J120" s="25"/>
      <c r="K120" s="28"/>
      <c r="L120" s="17"/>
      <c r="M120" s="17"/>
      <c r="N120" s="9" t="str">
        <f t="shared" si="2"/>
        <v/>
      </c>
      <c r="O120" s="9" t="str">
        <f t="shared" si="3"/>
        <v/>
      </c>
      <c r="P120" s="18"/>
      <c r="Q120" s="17"/>
    </row>
    <row r="121" spans="1:17" ht="15" customHeight="1" x14ac:dyDescent="0.35">
      <c r="A121" s="29"/>
      <c r="B121" s="25"/>
      <c r="C121" s="25"/>
      <c r="D121" s="25"/>
      <c r="E121" s="25"/>
      <c r="F121" s="25"/>
      <c r="G121" s="25"/>
      <c r="H121" s="26"/>
      <c r="I121" s="27"/>
      <c r="J121" s="25"/>
      <c r="K121" s="28"/>
      <c r="L121" s="17"/>
      <c r="M121" s="17"/>
      <c r="N121" s="9" t="str">
        <f t="shared" si="2"/>
        <v/>
      </c>
      <c r="O121" s="9" t="str">
        <f t="shared" si="3"/>
        <v/>
      </c>
      <c r="P121" s="18"/>
      <c r="Q121" s="17"/>
    </row>
    <row r="122" spans="1:17" ht="15" customHeight="1" x14ac:dyDescent="0.35">
      <c r="A122" s="29"/>
      <c r="B122" s="25"/>
      <c r="C122" s="25"/>
      <c r="D122" s="25"/>
      <c r="E122" s="25"/>
      <c r="F122" s="25"/>
      <c r="G122" s="25"/>
      <c r="H122" s="26"/>
      <c r="I122" s="27"/>
      <c r="J122" s="25"/>
      <c r="K122" s="28"/>
      <c r="L122" s="17"/>
      <c r="M122" s="17"/>
      <c r="N122" s="9" t="str">
        <f t="shared" si="2"/>
        <v/>
      </c>
      <c r="O122" s="9" t="str">
        <f t="shared" si="3"/>
        <v/>
      </c>
      <c r="P122" s="18"/>
      <c r="Q122" s="17"/>
    </row>
    <row r="123" spans="1:17" ht="15" customHeight="1" x14ac:dyDescent="0.35">
      <c r="A123" s="29"/>
      <c r="B123" s="25"/>
      <c r="C123" s="25"/>
      <c r="D123" s="25"/>
      <c r="E123" s="25"/>
      <c r="F123" s="25"/>
      <c r="G123" s="25"/>
      <c r="H123" s="26"/>
      <c r="I123" s="27"/>
      <c r="J123" s="25"/>
      <c r="K123" s="28"/>
      <c r="L123" s="17"/>
      <c r="M123" s="17"/>
      <c r="N123" s="9" t="str">
        <f t="shared" si="2"/>
        <v/>
      </c>
      <c r="O123" s="9" t="str">
        <f t="shared" si="3"/>
        <v/>
      </c>
      <c r="P123" s="18"/>
      <c r="Q123" s="17"/>
    </row>
    <row r="124" spans="1:17" ht="15" customHeight="1" x14ac:dyDescent="0.35">
      <c r="A124" s="29"/>
      <c r="B124" s="25"/>
      <c r="C124" s="25"/>
      <c r="D124" s="25"/>
      <c r="E124" s="25"/>
      <c r="F124" s="25"/>
      <c r="G124" s="25"/>
      <c r="H124" s="26"/>
      <c r="I124" s="27"/>
      <c r="J124" s="25"/>
      <c r="K124" s="28"/>
      <c r="L124" s="17"/>
      <c r="M124" s="17"/>
      <c r="N124" s="9" t="str">
        <f t="shared" si="2"/>
        <v/>
      </c>
      <c r="O124" s="9" t="str">
        <f t="shared" si="3"/>
        <v/>
      </c>
      <c r="P124" s="18"/>
      <c r="Q124" s="17"/>
    </row>
    <row r="125" spans="1:17" ht="15" customHeight="1" x14ac:dyDescent="0.35">
      <c r="A125" s="29"/>
      <c r="B125" s="25"/>
      <c r="C125" s="25"/>
      <c r="D125" s="25"/>
      <c r="E125" s="25"/>
      <c r="F125" s="25"/>
      <c r="G125" s="25"/>
      <c r="H125" s="26"/>
      <c r="I125" s="27"/>
      <c r="J125" s="25"/>
      <c r="K125" s="28"/>
      <c r="L125" s="17"/>
      <c r="M125" s="17"/>
      <c r="N125" s="9" t="str">
        <f t="shared" si="2"/>
        <v/>
      </c>
      <c r="O125" s="9" t="str">
        <f t="shared" si="3"/>
        <v/>
      </c>
      <c r="P125" s="18"/>
      <c r="Q125" s="17"/>
    </row>
    <row r="126" spans="1:17" ht="15" customHeight="1" x14ac:dyDescent="0.35">
      <c r="A126" s="29"/>
      <c r="B126" s="25"/>
      <c r="C126" s="25"/>
      <c r="D126" s="25"/>
      <c r="E126" s="25"/>
      <c r="F126" s="25"/>
      <c r="G126" s="25"/>
      <c r="H126" s="26"/>
      <c r="I126" s="27"/>
      <c r="J126" s="25"/>
      <c r="K126" s="28"/>
      <c r="L126" s="17"/>
      <c r="M126" s="17"/>
      <c r="N126" s="9" t="str">
        <f t="shared" si="2"/>
        <v/>
      </c>
      <c r="O126" s="9" t="str">
        <f t="shared" si="3"/>
        <v/>
      </c>
      <c r="P126" s="18"/>
      <c r="Q126" s="17"/>
    </row>
    <row r="127" spans="1:17" ht="15" customHeight="1" x14ac:dyDescent="0.35">
      <c r="A127" s="29"/>
      <c r="B127" s="25"/>
      <c r="C127" s="25"/>
      <c r="D127" s="25"/>
      <c r="E127" s="25"/>
      <c r="F127" s="25"/>
      <c r="G127" s="25"/>
      <c r="H127" s="26"/>
      <c r="I127" s="27"/>
      <c r="J127" s="25"/>
      <c r="K127" s="28"/>
      <c r="L127" s="17"/>
      <c r="M127" s="17"/>
      <c r="N127" s="9" t="str">
        <f t="shared" si="2"/>
        <v/>
      </c>
      <c r="O127" s="9" t="str">
        <f t="shared" si="3"/>
        <v/>
      </c>
      <c r="P127" s="18"/>
      <c r="Q127" s="17"/>
    </row>
    <row r="128" spans="1:17" ht="15" customHeight="1" x14ac:dyDescent="0.35">
      <c r="A128" s="29"/>
      <c r="B128" s="25"/>
      <c r="C128" s="25"/>
      <c r="D128" s="25"/>
      <c r="E128" s="25"/>
      <c r="F128" s="25"/>
      <c r="G128" s="25"/>
      <c r="H128" s="26"/>
      <c r="I128" s="27"/>
      <c r="J128" s="25"/>
      <c r="K128" s="28"/>
      <c r="L128" s="17"/>
      <c r="M128" s="17"/>
      <c r="N128" s="9" t="str">
        <f t="shared" si="2"/>
        <v/>
      </c>
      <c r="O128" s="9" t="str">
        <f t="shared" si="3"/>
        <v/>
      </c>
      <c r="P128" s="18"/>
      <c r="Q128" s="17"/>
    </row>
    <row r="129" spans="1:17" ht="15" customHeight="1" x14ac:dyDescent="0.35">
      <c r="A129" s="29"/>
      <c r="B129" s="25"/>
      <c r="C129" s="25"/>
      <c r="D129" s="25"/>
      <c r="E129" s="25"/>
      <c r="F129" s="25"/>
      <c r="G129" s="25"/>
      <c r="H129" s="26"/>
      <c r="I129" s="27"/>
      <c r="J129" s="25"/>
      <c r="K129" s="28"/>
      <c r="L129" s="17"/>
      <c r="M129" s="17"/>
      <c r="N129" s="9" t="str">
        <f t="shared" si="2"/>
        <v/>
      </c>
      <c r="O129" s="9" t="str">
        <f t="shared" si="3"/>
        <v/>
      </c>
      <c r="P129" s="18"/>
      <c r="Q129" s="17"/>
    </row>
    <row r="130" spans="1:17" ht="15" customHeight="1" x14ac:dyDescent="0.35">
      <c r="A130" s="29"/>
      <c r="B130" s="25"/>
      <c r="C130" s="25"/>
      <c r="D130" s="25"/>
      <c r="E130" s="25"/>
      <c r="F130" s="25"/>
      <c r="G130" s="25"/>
      <c r="H130" s="26"/>
      <c r="I130" s="27"/>
      <c r="J130" s="25"/>
      <c r="K130" s="28"/>
      <c r="L130" s="17"/>
      <c r="M130" s="17"/>
      <c r="N130" s="9" t="str">
        <f t="shared" ref="N130:N193" si="4">IF(M130="","",IF(M130="Push",0,IF(M130="Void",0,IF(M130="W",IF(H130&gt;0,K130*H130/100,K130*100/ABS(H130)),-K130))))</f>
        <v/>
      </c>
      <c r="O130" s="9" t="str">
        <f t="shared" si="3"/>
        <v/>
      </c>
      <c r="P130" s="18"/>
      <c r="Q130" s="17"/>
    </row>
    <row r="131" spans="1:17" ht="15" customHeight="1" x14ac:dyDescent="0.35">
      <c r="A131" s="29"/>
      <c r="B131" s="25"/>
      <c r="C131" s="25"/>
      <c r="D131" s="25"/>
      <c r="E131" s="25"/>
      <c r="F131" s="25"/>
      <c r="G131" s="25"/>
      <c r="H131" s="26"/>
      <c r="I131" s="27"/>
      <c r="J131" s="25"/>
      <c r="K131" s="28"/>
      <c r="L131" s="17"/>
      <c r="M131" s="17"/>
      <c r="N131" s="9" t="str">
        <f t="shared" si="4"/>
        <v/>
      </c>
      <c r="O131" s="9" t="str">
        <f t="shared" ref="O131:O194" si="5">IF(N131="","",O130+N131)</f>
        <v/>
      </c>
      <c r="P131" s="18"/>
      <c r="Q131" s="17"/>
    </row>
    <row r="132" spans="1:17" ht="15" customHeight="1" x14ac:dyDescent="0.35">
      <c r="A132" s="29"/>
      <c r="B132" s="25"/>
      <c r="C132" s="25"/>
      <c r="D132" s="25"/>
      <c r="E132" s="25"/>
      <c r="F132" s="25"/>
      <c r="G132" s="25"/>
      <c r="H132" s="26"/>
      <c r="I132" s="27"/>
      <c r="J132" s="25"/>
      <c r="K132" s="28"/>
      <c r="L132" s="17"/>
      <c r="M132" s="17"/>
      <c r="N132" s="9" t="str">
        <f t="shared" si="4"/>
        <v/>
      </c>
      <c r="O132" s="9" t="str">
        <f t="shared" si="5"/>
        <v/>
      </c>
      <c r="P132" s="18"/>
      <c r="Q132" s="17"/>
    </row>
    <row r="133" spans="1:17" ht="15" customHeight="1" x14ac:dyDescent="0.35">
      <c r="A133" s="29"/>
      <c r="B133" s="25"/>
      <c r="C133" s="25"/>
      <c r="D133" s="25"/>
      <c r="E133" s="25"/>
      <c r="F133" s="25"/>
      <c r="G133" s="25"/>
      <c r="H133" s="26"/>
      <c r="I133" s="27"/>
      <c r="J133" s="25"/>
      <c r="K133" s="28"/>
      <c r="L133" s="17"/>
      <c r="M133" s="17"/>
      <c r="N133" s="9" t="str">
        <f t="shared" si="4"/>
        <v/>
      </c>
      <c r="O133" s="9" t="str">
        <f t="shared" si="5"/>
        <v/>
      </c>
      <c r="P133" s="18"/>
      <c r="Q133" s="17"/>
    </row>
    <row r="134" spans="1:17" ht="15" customHeight="1" x14ac:dyDescent="0.35">
      <c r="A134" s="29"/>
      <c r="B134" s="25"/>
      <c r="C134" s="25"/>
      <c r="D134" s="25"/>
      <c r="E134" s="25"/>
      <c r="F134" s="25"/>
      <c r="G134" s="25"/>
      <c r="H134" s="26"/>
      <c r="I134" s="27"/>
      <c r="J134" s="25"/>
      <c r="K134" s="28"/>
      <c r="L134" s="17"/>
      <c r="M134" s="17"/>
      <c r="N134" s="9" t="str">
        <f t="shared" si="4"/>
        <v/>
      </c>
      <c r="O134" s="9" t="str">
        <f t="shared" si="5"/>
        <v/>
      </c>
      <c r="P134" s="18"/>
      <c r="Q134" s="17"/>
    </row>
    <row r="135" spans="1:17" ht="15" customHeight="1" x14ac:dyDescent="0.35">
      <c r="A135" s="29"/>
      <c r="B135" s="25"/>
      <c r="C135" s="25"/>
      <c r="D135" s="25"/>
      <c r="E135" s="25"/>
      <c r="F135" s="25"/>
      <c r="G135" s="25"/>
      <c r="H135" s="26"/>
      <c r="I135" s="27"/>
      <c r="J135" s="25"/>
      <c r="K135" s="28"/>
      <c r="L135" s="17"/>
      <c r="M135" s="17"/>
      <c r="N135" s="9" t="str">
        <f t="shared" si="4"/>
        <v/>
      </c>
      <c r="O135" s="9" t="str">
        <f t="shared" si="5"/>
        <v/>
      </c>
      <c r="P135" s="18"/>
      <c r="Q135" s="17"/>
    </row>
    <row r="136" spans="1:17" ht="15" customHeight="1" x14ac:dyDescent="0.35">
      <c r="A136" s="29"/>
      <c r="B136" s="25"/>
      <c r="C136" s="25"/>
      <c r="D136" s="25"/>
      <c r="E136" s="25"/>
      <c r="F136" s="25"/>
      <c r="G136" s="25"/>
      <c r="H136" s="26"/>
      <c r="I136" s="27"/>
      <c r="J136" s="25"/>
      <c r="K136" s="28"/>
      <c r="L136" s="17"/>
      <c r="M136" s="17"/>
      <c r="N136" s="9" t="str">
        <f t="shared" si="4"/>
        <v/>
      </c>
      <c r="O136" s="9" t="str">
        <f t="shared" si="5"/>
        <v/>
      </c>
      <c r="P136" s="18"/>
      <c r="Q136" s="17"/>
    </row>
    <row r="137" spans="1:17" ht="15" customHeight="1" x14ac:dyDescent="0.35">
      <c r="A137" s="29"/>
      <c r="B137" s="25"/>
      <c r="C137" s="25"/>
      <c r="D137" s="25"/>
      <c r="E137" s="25"/>
      <c r="F137" s="25"/>
      <c r="G137" s="25"/>
      <c r="H137" s="26"/>
      <c r="I137" s="27"/>
      <c r="J137" s="25"/>
      <c r="K137" s="28"/>
      <c r="L137" s="17"/>
      <c r="M137" s="17"/>
      <c r="N137" s="9" t="str">
        <f t="shared" si="4"/>
        <v/>
      </c>
      <c r="O137" s="9" t="str">
        <f t="shared" si="5"/>
        <v/>
      </c>
      <c r="P137" s="18"/>
      <c r="Q137" s="17"/>
    </row>
    <row r="138" spans="1:17" ht="15" customHeight="1" x14ac:dyDescent="0.35">
      <c r="A138" s="29"/>
      <c r="B138" s="25"/>
      <c r="C138" s="25"/>
      <c r="D138" s="25"/>
      <c r="E138" s="25"/>
      <c r="F138" s="25"/>
      <c r="G138" s="25"/>
      <c r="H138" s="26"/>
      <c r="I138" s="27"/>
      <c r="J138" s="25"/>
      <c r="K138" s="28"/>
      <c r="L138" s="17"/>
      <c r="M138" s="17"/>
      <c r="N138" s="9" t="str">
        <f t="shared" si="4"/>
        <v/>
      </c>
      <c r="O138" s="9" t="str">
        <f t="shared" si="5"/>
        <v/>
      </c>
      <c r="P138" s="18"/>
      <c r="Q138" s="17"/>
    </row>
    <row r="139" spans="1:17" ht="15" customHeight="1" x14ac:dyDescent="0.35">
      <c r="A139" s="29"/>
      <c r="B139" s="25"/>
      <c r="C139" s="25"/>
      <c r="D139" s="25"/>
      <c r="E139" s="25"/>
      <c r="F139" s="25"/>
      <c r="G139" s="25"/>
      <c r="H139" s="26"/>
      <c r="I139" s="27"/>
      <c r="J139" s="25"/>
      <c r="K139" s="28"/>
      <c r="L139" s="17"/>
      <c r="M139" s="17"/>
      <c r="N139" s="9" t="str">
        <f t="shared" si="4"/>
        <v/>
      </c>
      <c r="O139" s="9" t="str">
        <f t="shared" si="5"/>
        <v/>
      </c>
      <c r="P139" s="18"/>
      <c r="Q139" s="17"/>
    </row>
    <row r="140" spans="1:17" ht="15" customHeight="1" x14ac:dyDescent="0.35">
      <c r="A140" s="29"/>
      <c r="B140" s="25"/>
      <c r="C140" s="25"/>
      <c r="D140" s="25"/>
      <c r="E140" s="25"/>
      <c r="F140" s="25"/>
      <c r="G140" s="25"/>
      <c r="H140" s="26"/>
      <c r="I140" s="27"/>
      <c r="J140" s="25"/>
      <c r="K140" s="28"/>
      <c r="L140" s="17"/>
      <c r="M140" s="17"/>
      <c r="N140" s="9" t="str">
        <f t="shared" si="4"/>
        <v/>
      </c>
      <c r="O140" s="9" t="str">
        <f t="shared" si="5"/>
        <v/>
      </c>
      <c r="P140" s="18"/>
      <c r="Q140" s="17"/>
    </row>
    <row r="141" spans="1:17" ht="15" customHeight="1" x14ac:dyDescent="0.35">
      <c r="A141" s="29"/>
      <c r="B141" s="25"/>
      <c r="C141" s="25"/>
      <c r="D141" s="25"/>
      <c r="E141" s="25"/>
      <c r="F141" s="25"/>
      <c r="G141" s="25"/>
      <c r="H141" s="26"/>
      <c r="I141" s="27"/>
      <c r="J141" s="25"/>
      <c r="K141" s="28"/>
      <c r="L141" s="17"/>
      <c r="M141" s="17"/>
      <c r="N141" s="9" t="str">
        <f t="shared" si="4"/>
        <v/>
      </c>
      <c r="O141" s="9" t="str">
        <f t="shared" si="5"/>
        <v/>
      </c>
      <c r="P141" s="18"/>
      <c r="Q141" s="17"/>
    </row>
    <row r="142" spans="1:17" ht="15" customHeight="1" x14ac:dyDescent="0.35">
      <c r="A142" s="29"/>
      <c r="B142" s="25"/>
      <c r="C142" s="25"/>
      <c r="D142" s="25"/>
      <c r="E142" s="25"/>
      <c r="F142" s="25"/>
      <c r="G142" s="25"/>
      <c r="H142" s="26"/>
      <c r="I142" s="27"/>
      <c r="J142" s="25"/>
      <c r="K142" s="28"/>
      <c r="L142" s="17"/>
      <c r="M142" s="17"/>
      <c r="N142" s="9" t="str">
        <f t="shared" si="4"/>
        <v/>
      </c>
      <c r="O142" s="9" t="str">
        <f t="shared" si="5"/>
        <v/>
      </c>
      <c r="P142" s="18"/>
      <c r="Q142" s="17"/>
    </row>
    <row r="143" spans="1:17" ht="15" customHeight="1" x14ac:dyDescent="0.35">
      <c r="A143" s="29"/>
      <c r="B143" s="25"/>
      <c r="C143" s="25"/>
      <c r="D143" s="25"/>
      <c r="E143" s="25"/>
      <c r="F143" s="25"/>
      <c r="G143" s="25"/>
      <c r="H143" s="26"/>
      <c r="I143" s="27"/>
      <c r="J143" s="25"/>
      <c r="K143" s="28"/>
      <c r="L143" s="17"/>
      <c r="M143" s="17"/>
      <c r="N143" s="9" t="str">
        <f t="shared" si="4"/>
        <v/>
      </c>
      <c r="O143" s="9" t="str">
        <f t="shared" si="5"/>
        <v/>
      </c>
      <c r="P143" s="18"/>
      <c r="Q143" s="17"/>
    </row>
    <row r="144" spans="1:17" ht="15" customHeight="1" x14ac:dyDescent="0.35">
      <c r="A144" s="29"/>
      <c r="B144" s="25"/>
      <c r="C144" s="25"/>
      <c r="D144" s="25"/>
      <c r="E144" s="25"/>
      <c r="F144" s="25"/>
      <c r="G144" s="25"/>
      <c r="H144" s="26"/>
      <c r="I144" s="27"/>
      <c r="J144" s="25"/>
      <c r="K144" s="28"/>
      <c r="L144" s="17"/>
      <c r="M144" s="17"/>
      <c r="N144" s="9" t="str">
        <f t="shared" si="4"/>
        <v/>
      </c>
      <c r="O144" s="9" t="str">
        <f t="shared" si="5"/>
        <v/>
      </c>
      <c r="P144" s="18"/>
      <c r="Q144" s="17"/>
    </row>
    <row r="145" spans="1:17" ht="15" customHeight="1" x14ac:dyDescent="0.35">
      <c r="A145" s="29"/>
      <c r="B145" s="25"/>
      <c r="C145" s="25"/>
      <c r="D145" s="25"/>
      <c r="E145" s="25"/>
      <c r="F145" s="25"/>
      <c r="G145" s="25"/>
      <c r="H145" s="26"/>
      <c r="I145" s="27"/>
      <c r="J145" s="25"/>
      <c r="K145" s="28"/>
      <c r="L145" s="17"/>
      <c r="M145" s="17"/>
      <c r="N145" s="9" t="str">
        <f t="shared" si="4"/>
        <v/>
      </c>
      <c r="O145" s="9" t="str">
        <f t="shared" si="5"/>
        <v/>
      </c>
      <c r="P145" s="18"/>
      <c r="Q145" s="17"/>
    </row>
    <row r="146" spans="1:17" ht="15" customHeight="1" x14ac:dyDescent="0.35">
      <c r="A146" s="29"/>
      <c r="B146" s="25"/>
      <c r="C146" s="25"/>
      <c r="D146" s="25"/>
      <c r="E146" s="25"/>
      <c r="F146" s="25"/>
      <c r="G146" s="25"/>
      <c r="H146" s="26"/>
      <c r="I146" s="27"/>
      <c r="J146" s="25"/>
      <c r="K146" s="28"/>
      <c r="L146" s="17"/>
      <c r="M146" s="17"/>
      <c r="N146" s="9" t="str">
        <f t="shared" si="4"/>
        <v/>
      </c>
      <c r="O146" s="9" t="str">
        <f t="shared" si="5"/>
        <v/>
      </c>
      <c r="P146" s="18"/>
      <c r="Q146" s="17"/>
    </row>
    <row r="147" spans="1:17" ht="15" customHeight="1" x14ac:dyDescent="0.35">
      <c r="A147" s="29"/>
      <c r="B147" s="25"/>
      <c r="C147" s="25"/>
      <c r="D147" s="25"/>
      <c r="E147" s="25"/>
      <c r="F147" s="25"/>
      <c r="G147" s="25"/>
      <c r="H147" s="26"/>
      <c r="I147" s="27"/>
      <c r="J147" s="25"/>
      <c r="K147" s="28"/>
      <c r="L147" s="17"/>
      <c r="M147" s="17"/>
      <c r="N147" s="9" t="str">
        <f t="shared" si="4"/>
        <v/>
      </c>
      <c r="O147" s="9" t="str">
        <f t="shared" si="5"/>
        <v/>
      </c>
      <c r="P147" s="18"/>
      <c r="Q147" s="17"/>
    </row>
    <row r="148" spans="1:17" ht="15" customHeight="1" x14ac:dyDescent="0.35">
      <c r="A148" s="29"/>
      <c r="B148" s="25"/>
      <c r="C148" s="25"/>
      <c r="D148" s="25"/>
      <c r="E148" s="25"/>
      <c r="F148" s="25"/>
      <c r="G148" s="25"/>
      <c r="H148" s="26"/>
      <c r="I148" s="27"/>
      <c r="J148" s="25"/>
      <c r="K148" s="28"/>
      <c r="L148" s="17"/>
      <c r="M148" s="17"/>
      <c r="N148" s="9" t="str">
        <f t="shared" si="4"/>
        <v/>
      </c>
      <c r="O148" s="9" t="str">
        <f t="shared" si="5"/>
        <v/>
      </c>
      <c r="P148" s="18"/>
      <c r="Q148" s="17"/>
    </row>
    <row r="149" spans="1:17" ht="15" customHeight="1" x14ac:dyDescent="0.35">
      <c r="A149" s="29"/>
      <c r="B149" s="25"/>
      <c r="C149" s="25"/>
      <c r="D149" s="25"/>
      <c r="E149" s="25"/>
      <c r="F149" s="25"/>
      <c r="G149" s="25"/>
      <c r="H149" s="26"/>
      <c r="I149" s="27"/>
      <c r="J149" s="25"/>
      <c r="K149" s="28"/>
      <c r="L149" s="17"/>
      <c r="M149" s="17"/>
      <c r="N149" s="9" t="str">
        <f t="shared" si="4"/>
        <v/>
      </c>
      <c r="O149" s="9" t="str">
        <f t="shared" si="5"/>
        <v/>
      </c>
      <c r="P149" s="18"/>
      <c r="Q149" s="17"/>
    </row>
    <row r="150" spans="1:17" ht="15" customHeight="1" x14ac:dyDescent="0.35">
      <c r="A150" s="29"/>
      <c r="B150" s="25"/>
      <c r="C150" s="25"/>
      <c r="D150" s="25"/>
      <c r="E150" s="25"/>
      <c r="F150" s="25"/>
      <c r="G150" s="25"/>
      <c r="H150" s="26"/>
      <c r="I150" s="27"/>
      <c r="J150" s="25"/>
      <c r="K150" s="28"/>
      <c r="L150" s="17"/>
      <c r="M150" s="17"/>
      <c r="N150" s="9" t="str">
        <f t="shared" si="4"/>
        <v/>
      </c>
      <c r="O150" s="9" t="str">
        <f t="shared" si="5"/>
        <v/>
      </c>
      <c r="P150" s="18"/>
      <c r="Q150" s="17"/>
    </row>
    <row r="151" spans="1:17" ht="15" customHeight="1" x14ac:dyDescent="0.35">
      <c r="A151" s="29"/>
      <c r="B151" s="25"/>
      <c r="C151" s="25"/>
      <c r="D151" s="25"/>
      <c r="E151" s="25"/>
      <c r="F151" s="25"/>
      <c r="G151" s="25"/>
      <c r="H151" s="26"/>
      <c r="I151" s="27"/>
      <c r="J151" s="25"/>
      <c r="K151" s="28"/>
      <c r="L151" s="17"/>
      <c r="M151" s="17"/>
      <c r="N151" s="9" t="str">
        <f t="shared" si="4"/>
        <v/>
      </c>
      <c r="O151" s="9" t="str">
        <f t="shared" si="5"/>
        <v/>
      </c>
      <c r="P151" s="18"/>
      <c r="Q151" s="17"/>
    </row>
    <row r="152" spans="1:17" ht="15" customHeight="1" x14ac:dyDescent="0.35">
      <c r="A152" s="29"/>
      <c r="B152" s="25"/>
      <c r="C152" s="25"/>
      <c r="D152" s="25"/>
      <c r="E152" s="25"/>
      <c r="F152" s="25"/>
      <c r="G152" s="25"/>
      <c r="H152" s="26"/>
      <c r="I152" s="27"/>
      <c r="J152" s="25"/>
      <c r="K152" s="28"/>
      <c r="L152" s="17"/>
      <c r="M152" s="17"/>
      <c r="N152" s="9" t="str">
        <f t="shared" si="4"/>
        <v/>
      </c>
      <c r="O152" s="9" t="str">
        <f t="shared" si="5"/>
        <v/>
      </c>
      <c r="P152" s="18"/>
      <c r="Q152" s="17"/>
    </row>
    <row r="153" spans="1:17" ht="15" customHeight="1" x14ac:dyDescent="0.35">
      <c r="A153" s="29"/>
      <c r="B153" s="25"/>
      <c r="C153" s="25"/>
      <c r="D153" s="25"/>
      <c r="E153" s="25"/>
      <c r="F153" s="25"/>
      <c r="G153" s="25"/>
      <c r="H153" s="26"/>
      <c r="I153" s="27"/>
      <c r="J153" s="25"/>
      <c r="K153" s="28"/>
      <c r="L153" s="17"/>
      <c r="M153" s="17"/>
      <c r="N153" s="9" t="str">
        <f t="shared" si="4"/>
        <v/>
      </c>
      <c r="O153" s="9" t="str">
        <f t="shared" si="5"/>
        <v/>
      </c>
      <c r="P153" s="18"/>
      <c r="Q153" s="17"/>
    </row>
    <row r="154" spans="1:17" ht="15" customHeight="1" x14ac:dyDescent="0.35">
      <c r="A154" s="29"/>
      <c r="B154" s="25"/>
      <c r="C154" s="25"/>
      <c r="D154" s="25"/>
      <c r="E154" s="25"/>
      <c r="F154" s="25"/>
      <c r="G154" s="25"/>
      <c r="H154" s="26"/>
      <c r="I154" s="27"/>
      <c r="J154" s="25"/>
      <c r="K154" s="28"/>
      <c r="L154" s="17"/>
      <c r="M154" s="17"/>
      <c r="N154" s="9" t="str">
        <f t="shared" si="4"/>
        <v/>
      </c>
      <c r="O154" s="9" t="str">
        <f t="shared" si="5"/>
        <v/>
      </c>
      <c r="P154" s="18"/>
      <c r="Q154" s="17"/>
    </row>
    <row r="155" spans="1:17" ht="15" customHeight="1" x14ac:dyDescent="0.35">
      <c r="A155" s="29"/>
      <c r="B155" s="25"/>
      <c r="C155" s="25"/>
      <c r="D155" s="25"/>
      <c r="E155" s="25"/>
      <c r="F155" s="25"/>
      <c r="G155" s="25"/>
      <c r="H155" s="26"/>
      <c r="I155" s="27"/>
      <c r="J155" s="25"/>
      <c r="K155" s="28"/>
      <c r="L155" s="17"/>
      <c r="M155" s="17"/>
      <c r="N155" s="9" t="str">
        <f t="shared" si="4"/>
        <v/>
      </c>
      <c r="O155" s="9" t="str">
        <f t="shared" si="5"/>
        <v/>
      </c>
      <c r="P155" s="18"/>
      <c r="Q155" s="17"/>
    </row>
    <row r="156" spans="1:17" ht="15" customHeight="1" x14ac:dyDescent="0.35">
      <c r="A156" s="29"/>
      <c r="B156" s="25"/>
      <c r="C156" s="25"/>
      <c r="D156" s="25"/>
      <c r="E156" s="25"/>
      <c r="F156" s="25"/>
      <c r="G156" s="25"/>
      <c r="H156" s="26"/>
      <c r="I156" s="27"/>
      <c r="J156" s="25"/>
      <c r="K156" s="28"/>
      <c r="L156" s="17"/>
      <c r="M156" s="17"/>
      <c r="N156" s="9" t="str">
        <f t="shared" si="4"/>
        <v/>
      </c>
      <c r="O156" s="9" t="str">
        <f t="shared" si="5"/>
        <v/>
      </c>
      <c r="P156" s="18"/>
      <c r="Q156" s="17"/>
    </row>
    <row r="157" spans="1:17" ht="15" customHeight="1" x14ac:dyDescent="0.35">
      <c r="A157" s="29"/>
      <c r="B157" s="25"/>
      <c r="C157" s="25"/>
      <c r="D157" s="25"/>
      <c r="E157" s="25"/>
      <c r="F157" s="25"/>
      <c r="G157" s="25"/>
      <c r="H157" s="26"/>
      <c r="I157" s="27"/>
      <c r="J157" s="25"/>
      <c r="K157" s="28"/>
      <c r="L157" s="17"/>
      <c r="M157" s="17"/>
      <c r="N157" s="9" t="str">
        <f t="shared" si="4"/>
        <v/>
      </c>
      <c r="O157" s="9" t="str">
        <f t="shared" si="5"/>
        <v/>
      </c>
      <c r="P157" s="18"/>
      <c r="Q157" s="17"/>
    </row>
    <row r="158" spans="1:17" ht="15" customHeight="1" x14ac:dyDescent="0.35">
      <c r="A158" s="29"/>
      <c r="B158" s="25"/>
      <c r="C158" s="25"/>
      <c r="D158" s="25"/>
      <c r="E158" s="25"/>
      <c r="F158" s="25"/>
      <c r="G158" s="25"/>
      <c r="H158" s="26"/>
      <c r="I158" s="27"/>
      <c r="J158" s="25"/>
      <c r="K158" s="28"/>
      <c r="L158" s="17"/>
      <c r="M158" s="17"/>
      <c r="N158" s="9" t="str">
        <f t="shared" si="4"/>
        <v/>
      </c>
      <c r="O158" s="9" t="str">
        <f t="shared" si="5"/>
        <v/>
      </c>
      <c r="P158" s="18"/>
      <c r="Q158" s="17"/>
    </row>
    <row r="159" spans="1:17" ht="15" customHeight="1" x14ac:dyDescent="0.35">
      <c r="A159" s="29"/>
      <c r="B159" s="25"/>
      <c r="C159" s="25"/>
      <c r="D159" s="25"/>
      <c r="E159" s="25"/>
      <c r="F159" s="25"/>
      <c r="G159" s="25"/>
      <c r="H159" s="26"/>
      <c r="I159" s="27"/>
      <c r="J159" s="25"/>
      <c r="K159" s="28"/>
      <c r="L159" s="17"/>
      <c r="M159" s="17"/>
      <c r="N159" s="9" t="str">
        <f t="shared" si="4"/>
        <v/>
      </c>
      <c r="O159" s="9" t="str">
        <f t="shared" si="5"/>
        <v/>
      </c>
      <c r="P159" s="18"/>
      <c r="Q159" s="17"/>
    </row>
    <row r="160" spans="1:17" ht="15" customHeight="1" x14ac:dyDescent="0.35">
      <c r="A160" s="29"/>
      <c r="B160" s="25"/>
      <c r="C160" s="25"/>
      <c r="D160" s="25"/>
      <c r="E160" s="25"/>
      <c r="F160" s="25"/>
      <c r="G160" s="25"/>
      <c r="H160" s="26"/>
      <c r="I160" s="27"/>
      <c r="J160" s="25"/>
      <c r="K160" s="28"/>
      <c r="L160" s="17"/>
      <c r="M160" s="17"/>
      <c r="N160" s="9" t="str">
        <f t="shared" si="4"/>
        <v/>
      </c>
      <c r="O160" s="9" t="str">
        <f t="shared" si="5"/>
        <v/>
      </c>
      <c r="P160" s="18"/>
      <c r="Q160" s="17"/>
    </row>
    <row r="161" spans="1:17" ht="15" customHeight="1" x14ac:dyDescent="0.35">
      <c r="A161" s="29"/>
      <c r="B161" s="25"/>
      <c r="C161" s="25"/>
      <c r="D161" s="25"/>
      <c r="E161" s="25"/>
      <c r="F161" s="25"/>
      <c r="G161" s="25"/>
      <c r="H161" s="26"/>
      <c r="I161" s="27"/>
      <c r="J161" s="25"/>
      <c r="K161" s="28"/>
      <c r="L161" s="17"/>
      <c r="M161" s="17"/>
      <c r="N161" s="9" t="str">
        <f t="shared" si="4"/>
        <v/>
      </c>
      <c r="O161" s="9" t="str">
        <f t="shared" si="5"/>
        <v/>
      </c>
      <c r="P161" s="18"/>
      <c r="Q161" s="17"/>
    </row>
    <row r="162" spans="1:17" ht="15" customHeight="1" x14ac:dyDescent="0.35">
      <c r="A162" s="29"/>
      <c r="B162" s="25"/>
      <c r="C162" s="25"/>
      <c r="D162" s="25"/>
      <c r="E162" s="25"/>
      <c r="F162" s="25"/>
      <c r="G162" s="25"/>
      <c r="H162" s="26"/>
      <c r="I162" s="27"/>
      <c r="J162" s="25"/>
      <c r="K162" s="28"/>
      <c r="L162" s="17"/>
      <c r="M162" s="17"/>
      <c r="N162" s="9" t="str">
        <f t="shared" si="4"/>
        <v/>
      </c>
      <c r="O162" s="9" t="str">
        <f t="shared" si="5"/>
        <v/>
      </c>
      <c r="P162" s="18"/>
      <c r="Q162" s="17"/>
    </row>
    <row r="163" spans="1:17" ht="15" customHeight="1" x14ac:dyDescent="0.35">
      <c r="A163" s="29"/>
      <c r="B163" s="25"/>
      <c r="C163" s="25"/>
      <c r="D163" s="25"/>
      <c r="E163" s="25"/>
      <c r="F163" s="25"/>
      <c r="G163" s="25"/>
      <c r="H163" s="26"/>
      <c r="I163" s="27"/>
      <c r="J163" s="25"/>
      <c r="K163" s="28"/>
      <c r="L163" s="17"/>
      <c r="M163" s="17"/>
      <c r="N163" s="9" t="str">
        <f t="shared" si="4"/>
        <v/>
      </c>
      <c r="O163" s="9" t="str">
        <f t="shared" si="5"/>
        <v/>
      </c>
      <c r="P163" s="18"/>
      <c r="Q163" s="17"/>
    </row>
    <row r="164" spans="1:17" ht="15" customHeight="1" x14ac:dyDescent="0.35">
      <c r="A164" s="29"/>
      <c r="B164" s="25"/>
      <c r="C164" s="25"/>
      <c r="D164" s="25"/>
      <c r="E164" s="25"/>
      <c r="F164" s="25"/>
      <c r="G164" s="25"/>
      <c r="H164" s="26"/>
      <c r="I164" s="27"/>
      <c r="J164" s="25"/>
      <c r="K164" s="28"/>
      <c r="L164" s="17"/>
      <c r="M164" s="17"/>
      <c r="N164" s="9" t="str">
        <f t="shared" si="4"/>
        <v/>
      </c>
      <c r="O164" s="9" t="str">
        <f t="shared" si="5"/>
        <v/>
      </c>
      <c r="P164" s="18"/>
      <c r="Q164" s="17"/>
    </row>
    <row r="165" spans="1:17" ht="15" customHeight="1" x14ac:dyDescent="0.35">
      <c r="A165" s="29"/>
      <c r="B165" s="25"/>
      <c r="C165" s="25"/>
      <c r="D165" s="25"/>
      <c r="E165" s="25"/>
      <c r="F165" s="25"/>
      <c r="G165" s="25"/>
      <c r="H165" s="26"/>
      <c r="I165" s="27"/>
      <c r="J165" s="25"/>
      <c r="K165" s="28"/>
      <c r="L165" s="17"/>
      <c r="M165" s="17"/>
      <c r="N165" s="9" t="str">
        <f t="shared" si="4"/>
        <v/>
      </c>
      <c r="O165" s="9" t="str">
        <f t="shared" si="5"/>
        <v/>
      </c>
      <c r="P165" s="18"/>
      <c r="Q165" s="17"/>
    </row>
    <row r="166" spans="1:17" ht="15" customHeight="1" x14ac:dyDescent="0.35">
      <c r="A166" s="29"/>
      <c r="B166" s="25"/>
      <c r="C166" s="25"/>
      <c r="D166" s="25"/>
      <c r="E166" s="25"/>
      <c r="F166" s="25"/>
      <c r="G166" s="25"/>
      <c r="H166" s="26"/>
      <c r="I166" s="27"/>
      <c r="J166" s="25"/>
      <c r="K166" s="28"/>
      <c r="L166" s="17"/>
      <c r="M166" s="17"/>
      <c r="N166" s="9" t="str">
        <f t="shared" si="4"/>
        <v/>
      </c>
      <c r="O166" s="9" t="str">
        <f t="shared" si="5"/>
        <v/>
      </c>
      <c r="P166" s="18"/>
      <c r="Q166" s="17"/>
    </row>
    <row r="167" spans="1:17" ht="15" customHeight="1" x14ac:dyDescent="0.35">
      <c r="A167" s="29"/>
      <c r="B167" s="25"/>
      <c r="C167" s="25"/>
      <c r="D167" s="25"/>
      <c r="E167" s="25"/>
      <c r="F167" s="25"/>
      <c r="G167" s="25"/>
      <c r="H167" s="26"/>
      <c r="I167" s="27"/>
      <c r="J167" s="25"/>
      <c r="K167" s="28"/>
      <c r="L167" s="17"/>
      <c r="M167" s="17"/>
      <c r="N167" s="9" t="str">
        <f t="shared" si="4"/>
        <v/>
      </c>
      <c r="O167" s="9" t="str">
        <f t="shared" si="5"/>
        <v/>
      </c>
      <c r="P167" s="18"/>
      <c r="Q167" s="17"/>
    </row>
    <row r="168" spans="1:17" ht="15" customHeight="1" x14ac:dyDescent="0.35">
      <c r="A168" s="29"/>
      <c r="B168" s="25"/>
      <c r="C168" s="25"/>
      <c r="D168" s="25"/>
      <c r="E168" s="25"/>
      <c r="F168" s="25"/>
      <c r="G168" s="25"/>
      <c r="H168" s="26"/>
      <c r="I168" s="27"/>
      <c r="J168" s="25"/>
      <c r="K168" s="28"/>
      <c r="L168" s="17"/>
      <c r="M168" s="17"/>
      <c r="N168" s="9" t="str">
        <f t="shared" si="4"/>
        <v/>
      </c>
      <c r="O168" s="9" t="str">
        <f t="shared" si="5"/>
        <v/>
      </c>
      <c r="P168" s="18"/>
      <c r="Q168" s="17"/>
    </row>
    <row r="169" spans="1:17" ht="15" customHeight="1" x14ac:dyDescent="0.35">
      <c r="A169" s="29"/>
      <c r="B169" s="25"/>
      <c r="C169" s="25"/>
      <c r="D169" s="25"/>
      <c r="E169" s="25"/>
      <c r="F169" s="25"/>
      <c r="G169" s="25"/>
      <c r="H169" s="26"/>
      <c r="I169" s="27"/>
      <c r="J169" s="25"/>
      <c r="K169" s="28"/>
      <c r="L169" s="17"/>
      <c r="M169" s="17"/>
      <c r="N169" s="9" t="str">
        <f t="shared" si="4"/>
        <v/>
      </c>
      <c r="O169" s="9" t="str">
        <f t="shared" si="5"/>
        <v/>
      </c>
      <c r="P169" s="18"/>
      <c r="Q169" s="17"/>
    </row>
    <row r="170" spans="1:17" ht="15" customHeight="1" x14ac:dyDescent="0.35">
      <c r="A170" s="29"/>
      <c r="B170" s="25"/>
      <c r="C170" s="25"/>
      <c r="D170" s="25"/>
      <c r="E170" s="25"/>
      <c r="F170" s="25"/>
      <c r="G170" s="25"/>
      <c r="H170" s="26"/>
      <c r="I170" s="27"/>
      <c r="J170" s="25"/>
      <c r="K170" s="28"/>
      <c r="L170" s="17"/>
      <c r="M170" s="17"/>
      <c r="N170" s="9" t="str">
        <f t="shared" si="4"/>
        <v/>
      </c>
      <c r="O170" s="9" t="str">
        <f t="shared" si="5"/>
        <v/>
      </c>
      <c r="P170" s="18"/>
      <c r="Q170" s="17"/>
    </row>
    <row r="171" spans="1:17" ht="15" customHeight="1" x14ac:dyDescent="0.35">
      <c r="A171" s="29"/>
      <c r="B171" s="25"/>
      <c r="C171" s="25"/>
      <c r="D171" s="25"/>
      <c r="E171" s="25"/>
      <c r="F171" s="25"/>
      <c r="G171" s="25"/>
      <c r="H171" s="26"/>
      <c r="I171" s="27"/>
      <c r="J171" s="25"/>
      <c r="K171" s="28"/>
      <c r="L171" s="17"/>
      <c r="M171" s="17"/>
      <c r="N171" s="9" t="str">
        <f t="shared" si="4"/>
        <v/>
      </c>
      <c r="O171" s="9" t="str">
        <f t="shared" si="5"/>
        <v/>
      </c>
      <c r="P171" s="18"/>
      <c r="Q171" s="17"/>
    </row>
    <row r="172" spans="1:17" ht="15" customHeight="1" x14ac:dyDescent="0.35">
      <c r="A172" s="29"/>
      <c r="B172" s="25"/>
      <c r="C172" s="25"/>
      <c r="D172" s="25"/>
      <c r="E172" s="25"/>
      <c r="F172" s="25"/>
      <c r="G172" s="25"/>
      <c r="H172" s="26"/>
      <c r="I172" s="27"/>
      <c r="J172" s="25"/>
      <c r="K172" s="28"/>
      <c r="L172" s="17"/>
      <c r="M172" s="17"/>
      <c r="N172" s="9" t="str">
        <f t="shared" si="4"/>
        <v/>
      </c>
      <c r="O172" s="9" t="str">
        <f t="shared" si="5"/>
        <v/>
      </c>
      <c r="P172" s="18"/>
      <c r="Q172" s="17"/>
    </row>
    <row r="173" spans="1:17" ht="15" customHeight="1" x14ac:dyDescent="0.35">
      <c r="A173" s="29"/>
      <c r="B173" s="25"/>
      <c r="C173" s="25"/>
      <c r="D173" s="25"/>
      <c r="E173" s="25"/>
      <c r="F173" s="25"/>
      <c r="G173" s="25"/>
      <c r="H173" s="26"/>
      <c r="I173" s="27"/>
      <c r="J173" s="25"/>
      <c r="K173" s="28"/>
      <c r="L173" s="17"/>
      <c r="M173" s="17"/>
      <c r="N173" s="9" t="str">
        <f t="shared" si="4"/>
        <v/>
      </c>
      <c r="O173" s="9" t="str">
        <f t="shared" si="5"/>
        <v/>
      </c>
      <c r="P173" s="18"/>
      <c r="Q173" s="17"/>
    </row>
    <row r="174" spans="1:17" ht="15" customHeight="1" x14ac:dyDescent="0.35">
      <c r="A174" s="29"/>
      <c r="B174" s="25"/>
      <c r="C174" s="25"/>
      <c r="D174" s="25"/>
      <c r="E174" s="25"/>
      <c r="F174" s="25"/>
      <c r="G174" s="25"/>
      <c r="H174" s="26"/>
      <c r="I174" s="27"/>
      <c r="J174" s="25"/>
      <c r="K174" s="28"/>
      <c r="L174" s="17"/>
      <c r="M174" s="17"/>
      <c r="N174" s="9" t="str">
        <f t="shared" si="4"/>
        <v/>
      </c>
      <c r="O174" s="9" t="str">
        <f t="shared" si="5"/>
        <v/>
      </c>
      <c r="P174" s="18"/>
      <c r="Q174" s="17"/>
    </row>
    <row r="175" spans="1:17" ht="15" customHeight="1" x14ac:dyDescent="0.35">
      <c r="A175" s="29"/>
      <c r="B175" s="25"/>
      <c r="C175" s="25"/>
      <c r="D175" s="25"/>
      <c r="E175" s="25"/>
      <c r="F175" s="25"/>
      <c r="G175" s="25"/>
      <c r="H175" s="26"/>
      <c r="I175" s="27"/>
      <c r="J175" s="25"/>
      <c r="K175" s="28"/>
      <c r="L175" s="17"/>
      <c r="M175" s="17"/>
      <c r="N175" s="9" t="str">
        <f t="shared" si="4"/>
        <v/>
      </c>
      <c r="O175" s="9" t="str">
        <f t="shared" si="5"/>
        <v/>
      </c>
      <c r="P175" s="18"/>
      <c r="Q175" s="17"/>
    </row>
    <row r="176" spans="1:17" ht="15" customHeight="1" x14ac:dyDescent="0.35">
      <c r="A176" s="29"/>
      <c r="B176" s="25"/>
      <c r="C176" s="25"/>
      <c r="D176" s="25"/>
      <c r="E176" s="25"/>
      <c r="F176" s="25"/>
      <c r="G176" s="25"/>
      <c r="H176" s="26"/>
      <c r="I176" s="27"/>
      <c r="J176" s="25"/>
      <c r="K176" s="28"/>
      <c r="L176" s="17"/>
      <c r="M176" s="17"/>
      <c r="N176" s="9" t="str">
        <f t="shared" si="4"/>
        <v/>
      </c>
      <c r="O176" s="9" t="str">
        <f t="shared" si="5"/>
        <v/>
      </c>
      <c r="P176" s="18"/>
      <c r="Q176" s="17"/>
    </row>
    <row r="177" spans="1:17" ht="15" customHeight="1" x14ac:dyDescent="0.35">
      <c r="A177" s="29"/>
      <c r="B177" s="25"/>
      <c r="C177" s="25"/>
      <c r="D177" s="25"/>
      <c r="E177" s="25"/>
      <c r="F177" s="25"/>
      <c r="G177" s="25"/>
      <c r="H177" s="26"/>
      <c r="I177" s="27"/>
      <c r="J177" s="25"/>
      <c r="K177" s="28"/>
      <c r="L177" s="17"/>
      <c r="M177" s="17"/>
      <c r="N177" s="9" t="str">
        <f t="shared" si="4"/>
        <v/>
      </c>
      <c r="O177" s="9" t="str">
        <f t="shared" si="5"/>
        <v/>
      </c>
      <c r="P177" s="18"/>
      <c r="Q177" s="17"/>
    </row>
    <row r="178" spans="1:17" ht="15" customHeight="1" x14ac:dyDescent="0.35">
      <c r="A178" s="29"/>
      <c r="B178" s="25"/>
      <c r="C178" s="25"/>
      <c r="D178" s="25"/>
      <c r="E178" s="25"/>
      <c r="F178" s="25"/>
      <c r="G178" s="25"/>
      <c r="H178" s="26"/>
      <c r="I178" s="27"/>
      <c r="J178" s="25"/>
      <c r="K178" s="28"/>
      <c r="L178" s="17"/>
      <c r="M178" s="17"/>
      <c r="N178" s="9" t="str">
        <f t="shared" si="4"/>
        <v/>
      </c>
      <c r="O178" s="9" t="str">
        <f t="shared" si="5"/>
        <v/>
      </c>
      <c r="P178" s="18"/>
      <c r="Q178" s="17"/>
    </row>
    <row r="179" spans="1:17" ht="15" customHeight="1" x14ac:dyDescent="0.35">
      <c r="A179" s="29"/>
      <c r="B179" s="25"/>
      <c r="C179" s="25"/>
      <c r="D179" s="25"/>
      <c r="E179" s="25"/>
      <c r="F179" s="25"/>
      <c r="G179" s="25"/>
      <c r="H179" s="26"/>
      <c r="I179" s="27"/>
      <c r="J179" s="25"/>
      <c r="K179" s="28"/>
      <c r="L179" s="17"/>
      <c r="M179" s="17"/>
      <c r="N179" s="9" t="str">
        <f t="shared" si="4"/>
        <v/>
      </c>
      <c r="O179" s="9" t="str">
        <f t="shared" si="5"/>
        <v/>
      </c>
      <c r="P179" s="18"/>
      <c r="Q179" s="17"/>
    </row>
    <row r="180" spans="1:17" ht="15" customHeight="1" x14ac:dyDescent="0.35">
      <c r="A180" s="29"/>
      <c r="B180" s="25"/>
      <c r="C180" s="25"/>
      <c r="D180" s="25"/>
      <c r="E180" s="25"/>
      <c r="F180" s="25"/>
      <c r="G180" s="25"/>
      <c r="H180" s="26"/>
      <c r="I180" s="27"/>
      <c r="J180" s="25"/>
      <c r="K180" s="28"/>
      <c r="L180" s="17"/>
      <c r="M180" s="17"/>
      <c r="N180" s="9" t="str">
        <f t="shared" si="4"/>
        <v/>
      </c>
      <c r="O180" s="9" t="str">
        <f t="shared" si="5"/>
        <v/>
      </c>
      <c r="P180" s="18"/>
      <c r="Q180" s="17"/>
    </row>
    <row r="181" spans="1:17" ht="15" customHeight="1" x14ac:dyDescent="0.35">
      <c r="A181" s="29"/>
      <c r="B181" s="25"/>
      <c r="C181" s="25"/>
      <c r="D181" s="25"/>
      <c r="E181" s="25"/>
      <c r="F181" s="25"/>
      <c r="G181" s="25"/>
      <c r="H181" s="26"/>
      <c r="I181" s="27"/>
      <c r="J181" s="25"/>
      <c r="K181" s="28"/>
      <c r="L181" s="17"/>
      <c r="M181" s="17"/>
      <c r="N181" s="9" t="str">
        <f t="shared" si="4"/>
        <v/>
      </c>
      <c r="O181" s="9" t="str">
        <f t="shared" si="5"/>
        <v/>
      </c>
      <c r="P181" s="18"/>
      <c r="Q181" s="17"/>
    </row>
    <row r="182" spans="1:17" ht="15" customHeight="1" x14ac:dyDescent="0.35">
      <c r="A182" s="29"/>
      <c r="B182" s="25"/>
      <c r="C182" s="25"/>
      <c r="D182" s="25"/>
      <c r="E182" s="25"/>
      <c r="F182" s="25"/>
      <c r="G182" s="25"/>
      <c r="H182" s="26"/>
      <c r="I182" s="27"/>
      <c r="J182" s="25"/>
      <c r="K182" s="28"/>
      <c r="L182" s="17"/>
      <c r="M182" s="17"/>
      <c r="N182" s="9" t="str">
        <f t="shared" si="4"/>
        <v/>
      </c>
      <c r="O182" s="9" t="str">
        <f t="shared" si="5"/>
        <v/>
      </c>
      <c r="P182" s="18"/>
      <c r="Q182" s="17"/>
    </row>
    <row r="183" spans="1:17" ht="15" customHeight="1" x14ac:dyDescent="0.35">
      <c r="A183" s="29"/>
      <c r="B183" s="25"/>
      <c r="C183" s="25"/>
      <c r="D183" s="25"/>
      <c r="E183" s="25"/>
      <c r="F183" s="25"/>
      <c r="G183" s="25"/>
      <c r="H183" s="26"/>
      <c r="I183" s="27"/>
      <c r="J183" s="25"/>
      <c r="K183" s="28"/>
      <c r="L183" s="17"/>
      <c r="M183" s="17"/>
      <c r="N183" s="9" t="str">
        <f t="shared" si="4"/>
        <v/>
      </c>
      <c r="O183" s="9" t="str">
        <f t="shared" si="5"/>
        <v/>
      </c>
      <c r="P183" s="18"/>
      <c r="Q183" s="17"/>
    </row>
    <row r="184" spans="1:17" ht="15" customHeight="1" x14ac:dyDescent="0.35">
      <c r="A184" s="29"/>
      <c r="B184" s="25"/>
      <c r="C184" s="25"/>
      <c r="D184" s="25"/>
      <c r="E184" s="25"/>
      <c r="F184" s="25"/>
      <c r="G184" s="25"/>
      <c r="H184" s="26"/>
      <c r="I184" s="27"/>
      <c r="J184" s="25"/>
      <c r="K184" s="28"/>
      <c r="L184" s="17"/>
      <c r="M184" s="17"/>
      <c r="N184" s="9" t="str">
        <f t="shared" si="4"/>
        <v/>
      </c>
      <c r="O184" s="9" t="str">
        <f t="shared" si="5"/>
        <v/>
      </c>
      <c r="P184" s="18"/>
      <c r="Q184" s="17"/>
    </row>
    <row r="185" spans="1:17" ht="15" customHeight="1" x14ac:dyDescent="0.35">
      <c r="A185" s="29"/>
      <c r="B185" s="25"/>
      <c r="C185" s="25"/>
      <c r="D185" s="25"/>
      <c r="E185" s="25"/>
      <c r="F185" s="25"/>
      <c r="G185" s="25"/>
      <c r="H185" s="26"/>
      <c r="I185" s="27"/>
      <c r="J185" s="25"/>
      <c r="K185" s="28"/>
      <c r="L185" s="17"/>
      <c r="M185" s="17"/>
      <c r="N185" s="9" t="str">
        <f t="shared" si="4"/>
        <v/>
      </c>
      <c r="O185" s="9" t="str">
        <f t="shared" si="5"/>
        <v/>
      </c>
      <c r="P185" s="18"/>
      <c r="Q185" s="17"/>
    </row>
    <row r="186" spans="1:17" ht="15" customHeight="1" x14ac:dyDescent="0.35">
      <c r="A186" s="29"/>
      <c r="B186" s="25"/>
      <c r="C186" s="25"/>
      <c r="D186" s="25"/>
      <c r="E186" s="25"/>
      <c r="F186" s="25"/>
      <c r="G186" s="25"/>
      <c r="H186" s="26"/>
      <c r="I186" s="27"/>
      <c r="J186" s="25"/>
      <c r="K186" s="28"/>
      <c r="L186" s="17"/>
      <c r="M186" s="17"/>
      <c r="N186" s="9" t="str">
        <f t="shared" si="4"/>
        <v/>
      </c>
      <c r="O186" s="9" t="str">
        <f t="shared" si="5"/>
        <v/>
      </c>
      <c r="P186" s="18"/>
      <c r="Q186" s="17"/>
    </row>
    <row r="187" spans="1:17" ht="15" customHeight="1" x14ac:dyDescent="0.35">
      <c r="A187" s="29"/>
      <c r="B187" s="25"/>
      <c r="C187" s="25"/>
      <c r="D187" s="25"/>
      <c r="E187" s="25"/>
      <c r="F187" s="25"/>
      <c r="G187" s="25"/>
      <c r="H187" s="26"/>
      <c r="I187" s="27"/>
      <c r="J187" s="25"/>
      <c r="K187" s="28"/>
      <c r="L187" s="17"/>
      <c r="M187" s="17"/>
      <c r="N187" s="9" t="str">
        <f t="shared" si="4"/>
        <v/>
      </c>
      <c r="O187" s="9" t="str">
        <f t="shared" si="5"/>
        <v/>
      </c>
      <c r="P187" s="18"/>
      <c r="Q187" s="17"/>
    </row>
    <row r="188" spans="1:17" ht="15" customHeight="1" x14ac:dyDescent="0.35">
      <c r="A188" s="29"/>
      <c r="B188" s="25"/>
      <c r="C188" s="25"/>
      <c r="D188" s="25"/>
      <c r="E188" s="25"/>
      <c r="F188" s="25"/>
      <c r="G188" s="25"/>
      <c r="H188" s="26"/>
      <c r="I188" s="27"/>
      <c r="J188" s="25"/>
      <c r="K188" s="28"/>
      <c r="L188" s="17"/>
      <c r="M188" s="17"/>
      <c r="N188" s="9" t="str">
        <f t="shared" si="4"/>
        <v/>
      </c>
      <c r="O188" s="9" t="str">
        <f t="shared" si="5"/>
        <v/>
      </c>
      <c r="P188" s="18"/>
      <c r="Q188" s="17"/>
    </row>
    <row r="189" spans="1:17" ht="15" customHeight="1" x14ac:dyDescent="0.35">
      <c r="A189" s="29"/>
      <c r="B189" s="25"/>
      <c r="C189" s="25"/>
      <c r="D189" s="25"/>
      <c r="E189" s="25"/>
      <c r="F189" s="25"/>
      <c r="G189" s="25"/>
      <c r="H189" s="26"/>
      <c r="I189" s="27"/>
      <c r="J189" s="25"/>
      <c r="K189" s="28"/>
      <c r="L189" s="17"/>
      <c r="M189" s="17"/>
      <c r="N189" s="9" t="str">
        <f t="shared" si="4"/>
        <v/>
      </c>
      <c r="O189" s="9" t="str">
        <f t="shared" si="5"/>
        <v/>
      </c>
      <c r="P189" s="18"/>
      <c r="Q189" s="17"/>
    </row>
    <row r="190" spans="1:17" ht="15" customHeight="1" x14ac:dyDescent="0.35">
      <c r="A190" s="29"/>
      <c r="B190" s="25"/>
      <c r="C190" s="25"/>
      <c r="D190" s="25"/>
      <c r="E190" s="25"/>
      <c r="F190" s="25"/>
      <c r="G190" s="25"/>
      <c r="H190" s="26"/>
      <c r="I190" s="27"/>
      <c r="J190" s="25"/>
      <c r="K190" s="28"/>
      <c r="L190" s="17"/>
      <c r="M190" s="17"/>
      <c r="N190" s="9" t="str">
        <f t="shared" si="4"/>
        <v/>
      </c>
      <c r="O190" s="9" t="str">
        <f t="shared" si="5"/>
        <v/>
      </c>
      <c r="P190" s="18"/>
      <c r="Q190" s="17"/>
    </row>
    <row r="191" spans="1:17" ht="15" customHeight="1" x14ac:dyDescent="0.35">
      <c r="A191" s="29"/>
      <c r="B191" s="25"/>
      <c r="C191" s="25"/>
      <c r="D191" s="25"/>
      <c r="E191" s="25"/>
      <c r="F191" s="25"/>
      <c r="G191" s="25"/>
      <c r="H191" s="26"/>
      <c r="I191" s="27"/>
      <c r="J191" s="25"/>
      <c r="K191" s="28"/>
      <c r="L191" s="17"/>
      <c r="M191" s="17"/>
      <c r="N191" s="9" t="str">
        <f t="shared" si="4"/>
        <v/>
      </c>
      <c r="O191" s="9" t="str">
        <f t="shared" si="5"/>
        <v/>
      </c>
      <c r="P191" s="18"/>
      <c r="Q191" s="17"/>
    </row>
    <row r="192" spans="1:17" ht="15" customHeight="1" x14ac:dyDescent="0.35">
      <c r="A192" s="29"/>
      <c r="B192" s="25"/>
      <c r="C192" s="25"/>
      <c r="D192" s="25"/>
      <c r="E192" s="25"/>
      <c r="F192" s="25"/>
      <c r="G192" s="25"/>
      <c r="H192" s="26"/>
      <c r="I192" s="27"/>
      <c r="J192" s="25"/>
      <c r="K192" s="28"/>
      <c r="L192" s="17"/>
      <c r="M192" s="17"/>
      <c r="N192" s="9" t="str">
        <f t="shared" si="4"/>
        <v/>
      </c>
      <c r="O192" s="9" t="str">
        <f t="shared" si="5"/>
        <v/>
      </c>
      <c r="P192" s="18"/>
      <c r="Q192" s="17"/>
    </row>
    <row r="193" spans="1:17" ht="15" customHeight="1" x14ac:dyDescent="0.35">
      <c r="A193" s="29"/>
      <c r="B193" s="25"/>
      <c r="C193" s="25"/>
      <c r="D193" s="25"/>
      <c r="E193" s="25"/>
      <c r="F193" s="25"/>
      <c r="G193" s="25"/>
      <c r="H193" s="26"/>
      <c r="I193" s="27"/>
      <c r="J193" s="25"/>
      <c r="K193" s="28"/>
      <c r="L193" s="17"/>
      <c r="M193" s="17"/>
      <c r="N193" s="9" t="str">
        <f t="shared" si="4"/>
        <v/>
      </c>
      <c r="O193" s="9" t="str">
        <f t="shared" si="5"/>
        <v/>
      </c>
      <c r="P193" s="18"/>
      <c r="Q193" s="17"/>
    </row>
    <row r="194" spans="1:17" ht="15" customHeight="1" x14ac:dyDescent="0.35">
      <c r="A194" s="29"/>
      <c r="B194" s="25"/>
      <c r="C194" s="25"/>
      <c r="D194" s="25"/>
      <c r="E194" s="25"/>
      <c r="F194" s="25"/>
      <c r="G194" s="25"/>
      <c r="H194" s="26"/>
      <c r="I194" s="27"/>
      <c r="J194" s="25"/>
      <c r="K194" s="28"/>
      <c r="L194" s="17"/>
      <c r="M194" s="17"/>
      <c r="N194" s="9" t="str">
        <f t="shared" ref="N194:N257" si="6">IF(M194="","",IF(M194="Push",0,IF(M194="Void",0,IF(M194="W",IF(H194&gt;0,K194*H194/100,K194*100/ABS(H194)),-K194))))</f>
        <v/>
      </c>
      <c r="O194" s="9" t="str">
        <f t="shared" si="5"/>
        <v/>
      </c>
      <c r="P194" s="18"/>
      <c r="Q194" s="17"/>
    </row>
    <row r="195" spans="1:17" ht="15" customHeight="1" x14ac:dyDescent="0.35">
      <c r="A195" s="29"/>
      <c r="B195" s="25"/>
      <c r="C195" s="25"/>
      <c r="D195" s="25"/>
      <c r="E195" s="25"/>
      <c r="F195" s="25"/>
      <c r="G195" s="25"/>
      <c r="H195" s="26"/>
      <c r="I195" s="27"/>
      <c r="J195" s="25"/>
      <c r="K195" s="28"/>
      <c r="L195" s="17"/>
      <c r="M195" s="17"/>
      <c r="N195" s="9" t="str">
        <f t="shared" si="6"/>
        <v/>
      </c>
      <c r="O195" s="9" t="str">
        <f t="shared" ref="O195:O258" si="7">IF(N195="","",O194+N195)</f>
        <v/>
      </c>
      <c r="P195" s="18"/>
      <c r="Q195" s="17"/>
    </row>
    <row r="196" spans="1:17" ht="15" customHeight="1" x14ac:dyDescent="0.35">
      <c r="A196" s="29"/>
      <c r="B196" s="25"/>
      <c r="C196" s="25"/>
      <c r="D196" s="25"/>
      <c r="E196" s="25"/>
      <c r="F196" s="25"/>
      <c r="G196" s="25"/>
      <c r="H196" s="26"/>
      <c r="I196" s="27"/>
      <c r="J196" s="25"/>
      <c r="K196" s="28"/>
      <c r="L196" s="17"/>
      <c r="M196" s="17"/>
      <c r="N196" s="9" t="str">
        <f t="shared" si="6"/>
        <v/>
      </c>
      <c r="O196" s="9" t="str">
        <f t="shared" si="7"/>
        <v/>
      </c>
      <c r="P196" s="18"/>
      <c r="Q196" s="17"/>
    </row>
    <row r="197" spans="1:17" ht="15" customHeight="1" x14ac:dyDescent="0.35">
      <c r="A197" s="29"/>
      <c r="B197" s="25"/>
      <c r="C197" s="25"/>
      <c r="D197" s="25"/>
      <c r="E197" s="25"/>
      <c r="F197" s="25"/>
      <c r="G197" s="25"/>
      <c r="H197" s="26"/>
      <c r="I197" s="27"/>
      <c r="J197" s="25"/>
      <c r="K197" s="28"/>
      <c r="L197" s="17"/>
      <c r="M197" s="17"/>
      <c r="N197" s="9" t="str">
        <f t="shared" si="6"/>
        <v/>
      </c>
      <c r="O197" s="9" t="str">
        <f t="shared" si="7"/>
        <v/>
      </c>
      <c r="P197" s="18"/>
      <c r="Q197" s="17"/>
    </row>
    <row r="198" spans="1:17" ht="15" customHeight="1" x14ac:dyDescent="0.35">
      <c r="A198" s="29"/>
      <c r="B198" s="25"/>
      <c r="C198" s="25"/>
      <c r="D198" s="25"/>
      <c r="E198" s="25"/>
      <c r="F198" s="25"/>
      <c r="G198" s="25"/>
      <c r="H198" s="26"/>
      <c r="I198" s="27"/>
      <c r="J198" s="25"/>
      <c r="K198" s="28"/>
      <c r="L198" s="17"/>
      <c r="M198" s="17"/>
      <c r="N198" s="9" t="str">
        <f t="shared" si="6"/>
        <v/>
      </c>
      <c r="O198" s="9" t="str">
        <f t="shared" si="7"/>
        <v/>
      </c>
      <c r="P198" s="18"/>
      <c r="Q198" s="17"/>
    </row>
    <row r="199" spans="1:17" ht="15" customHeight="1" x14ac:dyDescent="0.35">
      <c r="A199" s="29"/>
      <c r="B199" s="25"/>
      <c r="C199" s="25"/>
      <c r="D199" s="25"/>
      <c r="E199" s="25"/>
      <c r="F199" s="25"/>
      <c r="G199" s="25"/>
      <c r="H199" s="26"/>
      <c r="I199" s="27"/>
      <c r="J199" s="25"/>
      <c r="K199" s="28"/>
      <c r="L199" s="17"/>
      <c r="M199" s="17"/>
      <c r="N199" s="9" t="str">
        <f t="shared" si="6"/>
        <v/>
      </c>
      <c r="O199" s="9" t="str">
        <f t="shared" si="7"/>
        <v/>
      </c>
      <c r="P199" s="18"/>
      <c r="Q199" s="17"/>
    </row>
    <row r="200" spans="1:17" ht="15" customHeight="1" x14ac:dyDescent="0.35">
      <c r="A200" s="29"/>
      <c r="B200" s="25"/>
      <c r="C200" s="25"/>
      <c r="D200" s="25"/>
      <c r="E200" s="25"/>
      <c r="F200" s="25"/>
      <c r="G200" s="25"/>
      <c r="H200" s="26"/>
      <c r="I200" s="27"/>
      <c r="J200" s="25"/>
      <c r="K200" s="28"/>
      <c r="L200" s="17"/>
      <c r="M200" s="17"/>
      <c r="N200" s="9" t="str">
        <f t="shared" si="6"/>
        <v/>
      </c>
      <c r="O200" s="9" t="str">
        <f t="shared" si="7"/>
        <v/>
      </c>
      <c r="P200" s="18"/>
      <c r="Q200" s="17"/>
    </row>
    <row r="201" spans="1:17" ht="15" customHeight="1" x14ac:dyDescent="0.35">
      <c r="A201" s="29"/>
      <c r="B201" s="25"/>
      <c r="C201" s="25"/>
      <c r="D201" s="25"/>
      <c r="E201" s="25"/>
      <c r="F201" s="25"/>
      <c r="G201" s="25"/>
      <c r="H201" s="26"/>
      <c r="I201" s="27"/>
      <c r="J201" s="25"/>
      <c r="K201" s="28"/>
      <c r="L201" s="17"/>
      <c r="M201" s="17"/>
      <c r="N201" s="9" t="str">
        <f t="shared" si="6"/>
        <v/>
      </c>
      <c r="O201" s="9" t="str">
        <f t="shared" si="7"/>
        <v/>
      </c>
      <c r="P201" s="18"/>
      <c r="Q201" s="17"/>
    </row>
    <row r="202" spans="1:17" ht="15" customHeight="1" x14ac:dyDescent="0.35">
      <c r="A202" s="29"/>
      <c r="B202" s="25"/>
      <c r="C202" s="25"/>
      <c r="D202" s="25"/>
      <c r="E202" s="25"/>
      <c r="F202" s="25"/>
      <c r="G202" s="25"/>
      <c r="H202" s="26"/>
      <c r="I202" s="27"/>
      <c r="J202" s="25"/>
      <c r="K202" s="28"/>
      <c r="L202" s="17"/>
      <c r="M202" s="17"/>
      <c r="N202" s="9" t="str">
        <f t="shared" si="6"/>
        <v/>
      </c>
      <c r="O202" s="9" t="str">
        <f t="shared" si="7"/>
        <v/>
      </c>
      <c r="P202" s="18"/>
      <c r="Q202" s="17"/>
    </row>
    <row r="203" spans="1:17" ht="15" customHeight="1" x14ac:dyDescent="0.35">
      <c r="A203" s="29"/>
      <c r="B203" s="25"/>
      <c r="C203" s="25"/>
      <c r="D203" s="25"/>
      <c r="E203" s="25"/>
      <c r="F203" s="25"/>
      <c r="G203" s="25"/>
      <c r="H203" s="26"/>
      <c r="I203" s="27"/>
      <c r="J203" s="25"/>
      <c r="K203" s="28"/>
      <c r="L203" s="17"/>
      <c r="M203" s="17"/>
      <c r="N203" s="9" t="str">
        <f t="shared" si="6"/>
        <v/>
      </c>
      <c r="O203" s="9" t="str">
        <f t="shared" si="7"/>
        <v/>
      </c>
      <c r="P203" s="18"/>
      <c r="Q203" s="17"/>
    </row>
    <row r="204" spans="1:17" ht="15" customHeight="1" x14ac:dyDescent="0.35">
      <c r="A204" s="29"/>
      <c r="B204" s="25"/>
      <c r="C204" s="25"/>
      <c r="D204" s="25"/>
      <c r="E204" s="25"/>
      <c r="F204" s="25"/>
      <c r="G204" s="25"/>
      <c r="H204" s="26"/>
      <c r="I204" s="27"/>
      <c r="J204" s="25"/>
      <c r="K204" s="28"/>
      <c r="L204" s="17"/>
      <c r="M204" s="17"/>
      <c r="N204" s="9" t="str">
        <f t="shared" si="6"/>
        <v/>
      </c>
      <c r="O204" s="9" t="str">
        <f t="shared" si="7"/>
        <v/>
      </c>
      <c r="P204" s="18"/>
      <c r="Q204" s="17"/>
    </row>
    <row r="205" spans="1:17" ht="15" customHeight="1" x14ac:dyDescent="0.35">
      <c r="A205" s="29"/>
      <c r="B205" s="25"/>
      <c r="C205" s="25"/>
      <c r="D205" s="25"/>
      <c r="E205" s="25"/>
      <c r="F205" s="25"/>
      <c r="G205" s="25"/>
      <c r="H205" s="26"/>
      <c r="I205" s="27"/>
      <c r="J205" s="25"/>
      <c r="K205" s="28"/>
      <c r="L205" s="17"/>
      <c r="M205" s="17"/>
      <c r="N205" s="9" t="str">
        <f t="shared" si="6"/>
        <v/>
      </c>
      <c r="O205" s="9" t="str">
        <f t="shared" si="7"/>
        <v/>
      </c>
      <c r="P205" s="18"/>
      <c r="Q205" s="17"/>
    </row>
    <row r="206" spans="1:17" ht="15" customHeight="1" x14ac:dyDescent="0.35">
      <c r="A206" s="29"/>
      <c r="B206" s="25"/>
      <c r="C206" s="25"/>
      <c r="D206" s="25"/>
      <c r="E206" s="25"/>
      <c r="F206" s="25"/>
      <c r="G206" s="25"/>
      <c r="H206" s="26"/>
      <c r="I206" s="27"/>
      <c r="J206" s="25"/>
      <c r="K206" s="28"/>
      <c r="L206" s="17"/>
      <c r="M206" s="17"/>
      <c r="N206" s="9" t="str">
        <f t="shared" si="6"/>
        <v/>
      </c>
      <c r="O206" s="9" t="str">
        <f t="shared" si="7"/>
        <v/>
      </c>
      <c r="P206" s="18"/>
      <c r="Q206" s="17"/>
    </row>
    <row r="207" spans="1:17" ht="15" customHeight="1" x14ac:dyDescent="0.35">
      <c r="A207" s="29"/>
      <c r="B207" s="25"/>
      <c r="C207" s="25"/>
      <c r="D207" s="25"/>
      <c r="E207" s="25"/>
      <c r="F207" s="25"/>
      <c r="G207" s="25"/>
      <c r="H207" s="26"/>
      <c r="I207" s="27"/>
      <c r="J207" s="25"/>
      <c r="K207" s="28"/>
      <c r="L207" s="17"/>
      <c r="M207" s="17"/>
      <c r="N207" s="9" t="str">
        <f t="shared" si="6"/>
        <v/>
      </c>
      <c r="O207" s="9" t="str">
        <f t="shared" si="7"/>
        <v/>
      </c>
      <c r="P207" s="18"/>
      <c r="Q207" s="17"/>
    </row>
    <row r="208" spans="1:17" ht="15" customHeight="1" x14ac:dyDescent="0.35">
      <c r="A208" s="29"/>
      <c r="B208" s="25"/>
      <c r="C208" s="25"/>
      <c r="D208" s="25"/>
      <c r="E208" s="25"/>
      <c r="F208" s="25"/>
      <c r="G208" s="25"/>
      <c r="H208" s="26"/>
      <c r="I208" s="27"/>
      <c r="J208" s="25"/>
      <c r="K208" s="28"/>
      <c r="L208" s="17"/>
      <c r="M208" s="17"/>
      <c r="N208" s="9" t="str">
        <f t="shared" si="6"/>
        <v/>
      </c>
      <c r="O208" s="9" t="str">
        <f t="shared" si="7"/>
        <v/>
      </c>
      <c r="P208" s="18"/>
      <c r="Q208" s="17"/>
    </row>
    <row r="209" spans="1:17" ht="15" customHeight="1" x14ac:dyDescent="0.35">
      <c r="A209" s="29"/>
      <c r="B209" s="25"/>
      <c r="C209" s="25"/>
      <c r="D209" s="25"/>
      <c r="E209" s="25"/>
      <c r="F209" s="25"/>
      <c r="G209" s="25"/>
      <c r="H209" s="26"/>
      <c r="I209" s="27"/>
      <c r="J209" s="25"/>
      <c r="K209" s="28"/>
      <c r="L209" s="17"/>
      <c r="M209" s="17"/>
      <c r="N209" s="9" t="str">
        <f t="shared" si="6"/>
        <v/>
      </c>
      <c r="O209" s="9" t="str">
        <f t="shared" si="7"/>
        <v/>
      </c>
      <c r="P209" s="18"/>
      <c r="Q209" s="17"/>
    </row>
    <row r="210" spans="1:17" ht="15" customHeight="1" x14ac:dyDescent="0.35">
      <c r="A210" s="29"/>
      <c r="B210" s="25"/>
      <c r="C210" s="25"/>
      <c r="D210" s="25"/>
      <c r="E210" s="25"/>
      <c r="F210" s="25"/>
      <c r="G210" s="25"/>
      <c r="H210" s="26"/>
      <c r="I210" s="27"/>
      <c r="J210" s="25"/>
      <c r="K210" s="28"/>
      <c r="L210" s="17"/>
      <c r="M210" s="17"/>
      <c r="N210" s="9" t="str">
        <f t="shared" si="6"/>
        <v/>
      </c>
      <c r="O210" s="9" t="str">
        <f t="shared" si="7"/>
        <v/>
      </c>
      <c r="P210" s="18"/>
      <c r="Q210" s="17"/>
    </row>
    <row r="211" spans="1:17" ht="15" customHeight="1" x14ac:dyDescent="0.35">
      <c r="A211" s="29"/>
      <c r="B211" s="25"/>
      <c r="C211" s="25"/>
      <c r="D211" s="25"/>
      <c r="E211" s="25"/>
      <c r="F211" s="25"/>
      <c r="G211" s="25"/>
      <c r="H211" s="26"/>
      <c r="I211" s="27"/>
      <c r="J211" s="25"/>
      <c r="K211" s="28"/>
      <c r="L211" s="17"/>
      <c r="M211" s="17"/>
      <c r="N211" s="9" t="str">
        <f t="shared" si="6"/>
        <v/>
      </c>
      <c r="O211" s="9" t="str">
        <f t="shared" si="7"/>
        <v/>
      </c>
      <c r="P211" s="18"/>
      <c r="Q211" s="17"/>
    </row>
    <row r="212" spans="1:17" ht="15" customHeight="1" x14ac:dyDescent="0.35">
      <c r="A212" s="29"/>
      <c r="B212" s="25"/>
      <c r="C212" s="25"/>
      <c r="D212" s="25"/>
      <c r="E212" s="25"/>
      <c r="F212" s="25"/>
      <c r="G212" s="25"/>
      <c r="H212" s="26"/>
      <c r="I212" s="27"/>
      <c r="J212" s="25"/>
      <c r="K212" s="28"/>
      <c r="L212" s="17"/>
      <c r="M212" s="17"/>
      <c r="N212" s="9" t="str">
        <f t="shared" si="6"/>
        <v/>
      </c>
      <c r="O212" s="9" t="str">
        <f t="shared" si="7"/>
        <v/>
      </c>
      <c r="P212" s="18"/>
      <c r="Q212" s="17"/>
    </row>
    <row r="213" spans="1:17" ht="15" customHeight="1" x14ac:dyDescent="0.35">
      <c r="A213" s="29"/>
      <c r="B213" s="25"/>
      <c r="C213" s="25"/>
      <c r="D213" s="25"/>
      <c r="E213" s="25"/>
      <c r="F213" s="25"/>
      <c r="G213" s="25"/>
      <c r="H213" s="26"/>
      <c r="I213" s="27"/>
      <c r="J213" s="25"/>
      <c r="K213" s="28"/>
      <c r="L213" s="17"/>
      <c r="M213" s="17"/>
      <c r="N213" s="9" t="str">
        <f t="shared" si="6"/>
        <v/>
      </c>
      <c r="O213" s="9" t="str">
        <f t="shared" si="7"/>
        <v/>
      </c>
      <c r="P213" s="18"/>
      <c r="Q213" s="17"/>
    </row>
    <row r="214" spans="1:17" ht="15" customHeight="1" x14ac:dyDescent="0.35">
      <c r="A214" s="29"/>
      <c r="B214" s="25"/>
      <c r="C214" s="25"/>
      <c r="D214" s="25"/>
      <c r="E214" s="25"/>
      <c r="F214" s="25"/>
      <c r="G214" s="25"/>
      <c r="H214" s="26"/>
      <c r="I214" s="27"/>
      <c r="J214" s="25"/>
      <c r="K214" s="28"/>
      <c r="L214" s="17"/>
      <c r="M214" s="17"/>
      <c r="N214" s="9" t="str">
        <f t="shared" si="6"/>
        <v/>
      </c>
      <c r="O214" s="9" t="str">
        <f t="shared" si="7"/>
        <v/>
      </c>
      <c r="P214" s="18"/>
      <c r="Q214" s="17"/>
    </row>
    <row r="215" spans="1:17" ht="15" customHeight="1" x14ac:dyDescent="0.35">
      <c r="A215" s="29"/>
      <c r="B215" s="25"/>
      <c r="C215" s="25"/>
      <c r="D215" s="25"/>
      <c r="E215" s="25"/>
      <c r="F215" s="25"/>
      <c r="G215" s="25"/>
      <c r="H215" s="26"/>
      <c r="I215" s="27"/>
      <c r="J215" s="25"/>
      <c r="K215" s="28"/>
      <c r="L215" s="17"/>
      <c r="M215" s="17"/>
      <c r="N215" s="9" t="str">
        <f t="shared" si="6"/>
        <v/>
      </c>
      <c r="O215" s="9" t="str">
        <f t="shared" si="7"/>
        <v/>
      </c>
      <c r="P215" s="18"/>
      <c r="Q215" s="17"/>
    </row>
    <row r="216" spans="1:17" ht="15" customHeight="1" x14ac:dyDescent="0.35">
      <c r="A216" s="29"/>
      <c r="B216" s="25"/>
      <c r="C216" s="25"/>
      <c r="D216" s="25"/>
      <c r="E216" s="25"/>
      <c r="F216" s="25"/>
      <c r="G216" s="25"/>
      <c r="H216" s="26"/>
      <c r="I216" s="27"/>
      <c r="J216" s="25"/>
      <c r="K216" s="28"/>
      <c r="L216" s="17"/>
      <c r="M216" s="17"/>
      <c r="N216" s="9" t="str">
        <f t="shared" si="6"/>
        <v/>
      </c>
      <c r="O216" s="9" t="str">
        <f t="shared" si="7"/>
        <v/>
      </c>
      <c r="P216" s="18"/>
      <c r="Q216" s="17"/>
    </row>
    <row r="217" spans="1:17" ht="15" customHeight="1" x14ac:dyDescent="0.35">
      <c r="A217" s="29"/>
      <c r="B217" s="25"/>
      <c r="C217" s="25"/>
      <c r="D217" s="25"/>
      <c r="E217" s="25"/>
      <c r="F217" s="25"/>
      <c r="G217" s="25"/>
      <c r="H217" s="26"/>
      <c r="I217" s="27"/>
      <c r="J217" s="25"/>
      <c r="K217" s="28"/>
      <c r="L217" s="17"/>
      <c r="M217" s="17"/>
      <c r="N217" s="9" t="str">
        <f t="shared" si="6"/>
        <v/>
      </c>
      <c r="O217" s="9" t="str">
        <f t="shared" si="7"/>
        <v/>
      </c>
      <c r="P217" s="18"/>
      <c r="Q217" s="17"/>
    </row>
    <row r="218" spans="1:17" ht="15" customHeight="1" x14ac:dyDescent="0.35">
      <c r="A218" s="29"/>
      <c r="B218" s="25"/>
      <c r="C218" s="25"/>
      <c r="D218" s="25"/>
      <c r="E218" s="25"/>
      <c r="F218" s="25"/>
      <c r="G218" s="25"/>
      <c r="H218" s="26"/>
      <c r="I218" s="27"/>
      <c r="J218" s="25"/>
      <c r="K218" s="28"/>
      <c r="L218" s="17"/>
      <c r="M218" s="17"/>
      <c r="N218" s="9" t="str">
        <f t="shared" si="6"/>
        <v/>
      </c>
      <c r="O218" s="9" t="str">
        <f t="shared" si="7"/>
        <v/>
      </c>
      <c r="P218" s="18"/>
      <c r="Q218" s="17"/>
    </row>
    <row r="219" spans="1:17" ht="15" customHeight="1" x14ac:dyDescent="0.35">
      <c r="A219" s="29"/>
      <c r="B219" s="25"/>
      <c r="C219" s="25"/>
      <c r="D219" s="25"/>
      <c r="E219" s="25"/>
      <c r="F219" s="25"/>
      <c r="G219" s="25"/>
      <c r="H219" s="26"/>
      <c r="I219" s="27"/>
      <c r="J219" s="25"/>
      <c r="K219" s="28"/>
      <c r="L219" s="17"/>
      <c r="M219" s="17"/>
      <c r="N219" s="9" t="str">
        <f t="shared" si="6"/>
        <v/>
      </c>
      <c r="O219" s="9" t="str">
        <f t="shared" si="7"/>
        <v/>
      </c>
      <c r="P219" s="18"/>
      <c r="Q219" s="17"/>
    </row>
    <row r="220" spans="1:17" ht="15" customHeight="1" x14ac:dyDescent="0.35">
      <c r="A220" s="29"/>
      <c r="B220" s="25"/>
      <c r="C220" s="25"/>
      <c r="D220" s="25"/>
      <c r="E220" s="25"/>
      <c r="F220" s="25"/>
      <c r="G220" s="25"/>
      <c r="H220" s="26"/>
      <c r="I220" s="27"/>
      <c r="J220" s="25"/>
      <c r="K220" s="28"/>
      <c r="L220" s="17"/>
      <c r="M220" s="17"/>
      <c r="N220" s="9" t="str">
        <f t="shared" si="6"/>
        <v/>
      </c>
      <c r="O220" s="9" t="str">
        <f t="shared" si="7"/>
        <v/>
      </c>
      <c r="P220" s="18"/>
      <c r="Q220" s="17"/>
    </row>
    <row r="221" spans="1:17" ht="15" customHeight="1" x14ac:dyDescent="0.35">
      <c r="A221" s="29"/>
      <c r="B221" s="25"/>
      <c r="C221" s="25"/>
      <c r="D221" s="25"/>
      <c r="E221" s="25"/>
      <c r="F221" s="25"/>
      <c r="G221" s="25"/>
      <c r="H221" s="26"/>
      <c r="I221" s="27"/>
      <c r="J221" s="25"/>
      <c r="K221" s="28"/>
      <c r="L221" s="17"/>
      <c r="M221" s="17"/>
      <c r="N221" s="9" t="str">
        <f t="shared" si="6"/>
        <v/>
      </c>
      <c r="O221" s="9" t="str">
        <f t="shared" si="7"/>
        <v/>
      </c>
      <c r="P221" s="18"/>
      <c r="Q221" s="17"/>
    </row>
    <row r="222" spans="1:17" ht="15" customHeight="1" x14ac:dyDescent="0.35">
      <c r="A222" s="29"/>
      <c r="B222" s="25"/>
      <c r="C222" s="25"/>
      <c r="D222" s="25"/>
      <c r="E222" s="25"/>
      <c r="F222" s="25"/>
      <c r="G222" s="25"/>
      <c r="H222" s="26"/>
      <c r="I222" s="27"/>
      <c r="J222" s="25"/>
      <c r="K222" s="28"/>
      <c r="L222" s="17"/>
      <c r="M222" s="17"/>
      <c r="N222" s="9" t="str">
        <f t="shared" si="6"/>
        <v/>
      </c>
      <c r="O222" s="9" t="str">
        <f t="shared" si="7"/>
        <v/>
      </c>
      <c r="P222" s="18"/>
      <c r="Q222" s="17"/>
    </row>
    <row r="223" spans="1:17" ht="15" customHeight="1" x14ac:dyDescent="0.35">
      <c r="A223" s="29"/>
      <c r="B223" s="25"/>
      <c r="C223" s="25"/>
      <c r="D223" s="25"/>
      <c r="E223" s="25"/>
      <c r="F223" s="25"/>
      <c r="G223" s="25"/>
      <c r="H223" s="26"/>
      <c r="I223" s="27"/>
      <c r="J223" s="25"/>
      <c r="K223" s="28"/>
      <c r="L223" s="17"/>
      <c r="M223" s="17"/>
      <c r="N223" s="9" t="str">
        <f t="shared" si="6"/>
        <v/>
      </c>
      <c r="O223" s="9" t="str">
        <f t="shared" si="7"/>
        <v/>
      </c>
      <c r="P223" s="18"/>
      <c r="Q223" s="17"/>
    </row>
    <row r="224" spans="1:17" ht="15" customHeight="1" x14ac:dyDescent="0.35">
      <c r="A224" s="29"/>
      <c r="B224" s="25"/>
      <c r="C224" s="25"/>
      <c r="D224" s="25"/>
      <c r="E224" s="25"/>
      <c r="F224" s="25"/>
      <c r="G224" s="25"/>
      <c r="H224" s="26"/>
      <c r="I224" s="27"/>
      <c r="J224" s="25"/>
      <c r="K224" s="28"/>
      <c r="L224" s="17"/>
      <c r="M224" s="17"/>
      <c r="N224" s="9" t="str">
        <f t="shared" si="6"/>
        <v/>
      </c>
      <c r="O224" s="9" t="str">
        <f t="shared" si="7"/>
        <v/>
      </c>
      <c r="P224" s="18"/>
      <c r="Q224" s="17"/>
    </row>
    <row r="225" spans="1:17" ht="15" customHeight="1" x14ac:dyDescent="0.35">
      <c r="A225" s="29"/>
      <c r="B225" s="25"/>
      <c r="C225" s="25"/>
      <c r="D225" s="25"/>
      <c r="E225" s="25"/>
      <c r="F225" s="25"/>
      <c r="G225" s="25"/>
      <c r="H225" s="26"/>
      <c r="I225" s="27"/>
      <c r="J225" s="25"/>
      <c r="K225" s="28"/>
      <c r="L225" s="17"/>
      <c r="M225" s="17"/>
      <c r="N225" s="9" t="str">
        <f t="shared" si="6"/>
        <v/>
      </c>
      <c r="O225" s="9" t="str">
        <f t="shared" si="7"/>
        <v/>
      </c>
      <c r="P225" s="18"/>
      <c r="Q225" s="17"/>
    </row>
    <row r="226" spans="1:17" ht="15" customHeight="1" x14ac:dyDescent="0.35">
      <c r="A226" s="29"/>
      <c r="B226" s="25"/>
      <c r="C226" s="25"/>
      <c r="D226" s="25"/>
      <c r="E226" s="25"/>
      <c r="F226" s="25"/>
      <c r="G226" s="25"/>
      <c r="H226" s="26"/>
      <c r="I226" s="27"/>
      <c r="J226" s="25"/>
      <c r="K226" s="28"/>
      <c r="L226" s="17"/>
      <c r="M226" s="17"/>
      <c r="N226" s="9" t="str">
        <f t="shared" si="6"/>
        <v/>
      </c>
      <c r="O226" s="9" t="str">
        <f t="shared" si="7"/>
        <v/>
      </c>
      <c r="P226" s="18"/>
      <c r="Q226" s="17"/>
    </row>
    <row r="227" spans="1:17" ht="15" customHeight="1" x14ac:dyDescent="0.35">
      <c r="A227" s="29"/>
      <c r="B227" s="25"/>
      <c r="C227" s="25"/>
      <c r="D227" s="25"/>
      <c r="E227" s="25"/>
      <c r="F227" s="25"/>
      <c r="G227" s="25"/>
      <c r="H227" s="26"/>
      <c r="I227" s="27"/>
      <c r="J227" s="25"/>
      <c r="K227" s="28"/>
      <c r="L227" s="17"/>
      <c r="M227" s="17"/>
      <c r="N227" s="9" t="str">
        <f t="shared" si="6"/>
        <v/>
      </c>
      <c r="O227" s="9" t="str">
        <f t="shared" si="7"/>
        <v/>
      </c>
      <c r="P227" s="18"/>
      <c r="Q227" s="17"/>
    </row>
    <row r="228" spans="1:17" ht="15" customHeight="1" x14ac:dyDescent="0.35">
      <c r="A228" s="29"/>
      <c r="B228" s="25"/>
      <c r="C228" s="25"/>
      <c r="D228" s="25"/>
      <c r="E228" s="25"/>
      <c r="F228" s="25"/>
      <c r="G228" s="25"/>
      <c r="H228" s="26"/>
      <c r="I228" s="27"/>
      <c r="J228" s="25"/>
      <c r="K228" s="28"/>
      <c r="L228" s="17"/>
      <c r="M228" s="17"/>
      <c r="N228" s="9" t="str">
        <f t="shared" si="6"/>
        <v/>
      </c>
      <c r="O228" s="9" t="str">
        <f t="shared" si="7"/>
        <v/>
      </c>
      <c r="P228" s="18"/>
      <c r="Q228" s="17"/>
    </row>
    <row r="229" spans="1:17" ht="15" customHeight="1" x14ac:dyDescent="0.35">
      <c r="A229" s="29"/>
      <c r="B229" s="25"/>
      <c r="C229" s="25"/>
      <c r="D229" s="25"/>
      <c r="E229" s="25"/>
      <c r="F229" s="25"/>
      <c r="G229" s="25"/>
      <c r="H229" s="26"/>
      <c r="I229" s="27"/>
      <c r="J229" s="25"/>
      <c r="K229" s="28"/>
      <c r="L229" s="17"/>
      <c r="M229" s="17"/>
      <c r="N229" s="9" t="str">
        <f t="shared" si="6"/>
        <v/>
      </c>
      <c r="O229" s="9" t="str">
        <f t="shared" si="7"/>
        <v/>
      </c>
      <c r="P229" s="18"/>
      <c r="Q229" s="17"/>
    </row>
    <row r="230" spans="1:17" ht="15" customHeight="1" x14ac:dyDescent="0.35">
      <c r="A230" s="29"/>
      <c r="B230" s="25"/>
      <c r="C230" s="25"/>
      <c r="D230" s="25"/>
      <c r="E230" s="25"/>
      <c r="F230" s="25"/>
      <c r="G230" s="25"/>
      <c r="H230" s="26"/>
      <c r="I230" s="27"/>
      <c r="J230" s="25"/>
      <c r="K230" s="28"/>
      <c r="L230" s="17"/>
      <c r="M230" s="17"/>
      <c r="N230" s="9" t="str">
        <f t="shared" si="6"/>
        <v/>
      </c>
      <c r="O230" s="9" t="str">
        <f t="shared" si="7"/>
        <v/>
      </c>
      <c r="P230" s="18"/>
      <c r="Q230" s="17"/>
    </row>
    <row r="231" spans="1:17" ht="15" customHeight="1" x14ac:dyDescent="0.35">
      <c r="A231" s="29"/>
      <c r="B231" s="25"/>
      <c r="C231" s="25"/>
      <c r="D231" s="25"/>
      <c r="E231" s="25"/>
      <c r="F231" s="25"/>
      <c r="G231" s="25"/>
      <c r="H231" s="26"/>
      <c r="I231" s="27"/>
      <c r="J231" s="25"/>
      <c r="K231" s="28"/>
      <c r="L231" s="17"/>
      <c r="M231" s="17"/>
      <c r="N231" s="9" t="str">
        <f t="shared" si="6"/>
        <v/>
      </c>
      <c r="O231" s="9" t="str">
        <f t="shared" si="7"/>
        <v/>
      </c>
      <c r="P231" s="18"/>
      <c r="Q231" s="17"/>
    </row>
    <row r="232" spans="1:17" ht="15" customHeight="1" x14ac:dyDescent="0.35">
      <c r="A232" s="29"/>
      <c r="B232" s="25"/>
      <c r="C232" s="25"/>
      <c r="D232" s="25"/>
      <c r="E232" s="25"/>
      <c r="F232" s="25"/>
      <c r="G232" s="25"/>
      <c r="H232" s="26"/>
      <c r="I232" s="27"/>
      <c r="J232" s="25"/>
      <c r="K232" s="28"/>
      <c r="L232" s="17"/>
      <c r="M232" s="17"/>
      <c r="N232" s="9" t="str">
        <f t="shared" si="6"/>
        <v/>
      </c>
      <c r="O232" s="9" t="str">
        <f t="shared" si="7"/>
        <v/>
      </c>
      <c r="P232" s="18"/>
      <c r="Q232" s="17"/>
    </row>
    <row r="233" spans="1:17" ht="15" customHeight="1" x14ac:dyDescent="0.35">
      <c r="A233" s="29"/>
      <c r="B233" s="25"/>
      <c r="C233" s="25"/>
      <c r="D233" s="25"/>
      <c r="E233" s="25"/>
      <c r="F233" s="25"/>
      <c r="G233" s="25"/>
      <c r="H233" s="26"/>
      <c r="I233" s="27"/>
      <c r="J233" s="25"/>
      <c r="K233" s="28"/>
      <c r="L233" s="17"/>
      <c r="M233" s="17"/>
      <c r="N233" s="9" t="str">
        <f t="shared" si="6"/>
        <v/>
      </c>
      <c r="O233" s="9" t="str">
        <f t="shared" si="7"/>
        <v/>
      </c>
      <c r="P233" s="18"/>
      <c r="Q233" s="17"/>
    </row>
    <row r="234" spans="1:17" ht="15" customHeight="1" x14ac:dyDescent="0.35">
      <c r="A234" s="29"/>
      <c r="B234" s="25"/>
      <c r="C234" s="25"/>
      <c r="D234" s="25"/>
      <c r="E234" s="25"/>
      <c r="F234" s="25"/>
      <c r="G234" s="25"/>
      <c r="H234" s="26"/>
      <c r="I234" s="27"/>
      <c r="J234" s="25"/>
      <c r="K234" s="28"/>
      <c r="L234" s="17"/>
      <c r="M234" s="17"/>
      <c r="N234" s="9" t="str">
        <f t="shared" si="6"/>
        <v/>
      </c>
      <c r="O234" s="9" t="str">
        <f t="shared" si="7"/>
        <v/>
      </c>
      <c r="P234" s="18"/>
      <c r="Q234" s="17"/>
    </row>
    <row r="235" spans="1:17" ht="15" customHeight="1" x14ac:dyDescent="0.35">
      <c r="A235" s="29"/>
      <c r="B235" s="25"/>
      <c r="C235" s="25"/>
      <c r="D235" s="25"/>
      <c r="E235" s="25"/>
      <c r="F235" s="25"/>
      <c r="G235" s="25"/>
      <c r="H235" s="26"/>
      <c r="I235" s="27"/>
      <c r="J235" s="25"/>
      <c r="K235" s="28"/>
      <c r="L235" s="17"/>
      <c r="M235" s="17"/>
      <c r="N235" s="9" t="str">
        <f t="shared" si="6"/>
        <v/>
      </c>
      <c r="O235" s="9" t="str">
        <f t="shared" si="7"/>
        <v/>
      </c>
      <c r="P235" s="18"/>
      <c r="Q235" s="17"/>
    </row>
    <row r="236" spans="1:17" ht="15" customHeight="1" x14ac:dyDescent="0.35">
      <c r="A236" s="29"/>
      <c r="B236" s="25"/>
      <c r="C236" s="25"/>
      <c r="D236" s="25"/>
      <c r="E236" s="25"/>
      <c r="F236" s="25"/>
      <c r="G236" s="25"/>
      <c r="H236" s="26"/>
      <c r="I236" s="27"/>
      <c r="J236" s="25"/>
      <c r="K236" s="28"/>
      <c r="L236" s="17"/>
      <c r="M236" s="17"/>
      <c r="N236" s="9" t="str">
        <f t="shared" si="6"/>
        <v/>
      </c>
      <c r="O236" s="9" t="str">
        <f t="shared" si="7"/>
        <v/>
      </c>
      <c r="P236" s="18"/>
      <c r="Q236" s="17"/>
    </row>
    <row r="237" spans="1:17" ht="15" customHeight="1" x14ac:dyDescent="0.35">
      <c r="A237" s="29"/>
      <c r="B237" s="25"/>
      <c r="C237" s="25"/>
      <c r="D237" s="25"/>
      <c r="E237" s="25"/>
      <c r="F237" s="25"/>
      <c r="G237" s="25"/>
      <c r="H237" s="26"/>
      <c r="I237" s="27"/>
      <c r="J237" s="25"/>
      <c r="K237" s="28"/>
      <c r="L237" s="17"/>
      <c r="M237" s="17"/>
      <c r="N237" s="9" t="str">
        <f t="shared" si="6"/>
        <v/>
      </c>
      <c r="O237" s="9" t="str">
        <f t="shared" si="7"/>
        <v/>
      </c>
      <c r="P237" s="18"/>
      <c r="Q237" s="17"/>
    </row>
    <row r="238" spans="1:17" ht="15" customHeight="1" x14ac:dyDescent="0.35">
      <c r="A238" s="29"/>
      <c r="B238" s="25"/>
      <c r="C238" s="25"/>
      <c r="D238" s="25"/>
      <c r="E238" s="25"/>
      <c r="F238" s="25"/>
      <c r="G238" s="25"/>
      <c r="H238" s="26"/>
      <c r="I238" s="27"/>
      <c r="J238" s="25"/>
      <c r="K238" s="28"/>
      <c r="L238" s="17"/>
      <c r="M238" s="17"/>
      <c r="N238" s="9" t="str">
        <f t="shared" si="6"/>
        <v/>
      </c>
      <c r="O238" s="9" t="str">
        <f t="shared" si="7"/>
        <v/>
      </c>
      <c r="P238" s="18"/>
      <c r="Q238" s="17"/>
    </row>
    <row r="239" spans="1:17" ht="15" customHeight="1" x14ac:dyDescent="0.35">
      <c r="A239" s="29"/>
      <c r="B239" s="25"/>
      <c r="C239" s="25"/>
      <c r="D239" s="25"/>
      <c r="E239" s="25"/>
      <c r="F239" s="25"/>
      <c r="G239" s="25"/>
      <c r="H239" s="26"/>
      <c r="I239" s="27"/>
      <c r="J239" s="25"/>
      <c r="K239" s="28"/>
      <c r="L239" s="17"/>
      <c r="M239" s="17"/>
      <c r="N239" s="9" t="str">
        <f t="shared" si="6"/>
        <v/>
      </c>
      <c r="O239" s="9" t="str">
        <f t="shared" si="7"/>
        <v/>
      </c>
      <c r="P239" s="18"/>
      <c r="Q239" s="17"/>
    </row>
    <row r="240" spans="1:17" ht="15" customHeight="1" x14ac:dyDescent="0.35">
      <c r="A240" s="29"/>
      <c r="B240" s="25"/>
      <c r="C240" s="25"/>
      <c r="D240" s="25"/>
      <c r="E240" s="25"/>
      <c r="F240" s="25"/>
      <c r="G240" s="25"/>
      <c r="H240" s="26"/>
      <c r="I240" s="27"/>
      <c r="J240" s="25"/>
      <c r="K240" s="28"/>
      <c r="L240" s="17"/>
      <c r="M240" s="17"/>
      <c r="N240" s="9" t="str">
        <f t="shared" si="6"/>
        <v/>
      </c>
      <c r="O240" s="9" t="str">
        <f t="shared" si="7"/>
        <v/>
      </c>
      <c r="P240" s="18"/>
      <c r="Q240" s="17"/>
    </row>
    <row r="241" spans="1:17" ht="15" customHeight="1" x14ac:dyDescent="0.35">
      <c r="A241" s="29"/>
      <c r="B241" s="25"/>
      <c r="C241" s="25"/>
      <c r="D241" s="25"/>
      <c r="E241" s="25"/>
      <c r="F241" s="25"/>
      <c r="G241" s="25"/>
      <c r="H241" s="26"/>
      <c r="I241" s="27"/>
      <c r="J241" s="25"/>
      <c r="K241" s="28"/>
      <c r="L241" s="17"/>
      <c r="M241" s="17"/>
      <c r="N241" s="9" t="str">
        <f t="shared" si="6"/>
        <v/>
      </c>
      <c r="O241" s="9" t="str">
        <f t="shared" si="7"/>
        <v/>
      </c>
      <c r="P241" s="18"/>
      <c r="Q241" s="17"/>
    </row>
    <row r="242" spans="1:17" ht="15" customHeight="1" x14ac:dyDescent="0.35">
      <c r="A242" s="29"/>
      <c r="B242" s="25"/>
      <c r="C242" s="25"/>
      <c r="D242" s="25"/>
      <c r="E242" s="25"/>
      <c r="F242" s="25"/>
      <c r="G242" s="25"/>
      <c r="H242" s="26"/>
      <c r="I242" s="27"/>
      <c r="J242" s="25"/>
      <c r="K242" s="28"/>
      <c r="L242" s="17"/>
      <c r="M242" s="17"/>
      <c r="N242" s="9" t="str">
        <f t="shared" si="6"/>
        <v/>
      </c>
      <c r="O242" s="9" t="str">
        <f t="shared" si="7"/>
        <v/>
      </c>
      <c r="P242" s="18"/>
      <c r="Q242" s="17"/>
    </row>
    <row r="243" spans="1:17" ht="15" customHeight="1" x14ac:dyDescent="0.35">
      <c r="A243" s="29"/>
      <c r="B243" s="25"/>
      <c r="C243" s="25"/>
      <c r="D243" s="25"/>
      <c r="E243" s="25"/>
      <c r="F243" s="25"/>
      <c r="G243" s="25"/>
      <c r="H243" s="26"/>
      <c r="I243" s="27"/>
      <c r="J243" s="25"/>
      <c r="K243" s="28"/>
      <c r="L243" s="17"/>
      <c r="M243" s="17"/>
      <c r="N243" s="9" t="str">
        <f t="shared" si="6"/>
        <v/>
      </c>
      <c r="O243" s="9" t="str">
        <f t="shared" si="7"/>
        <v/>
      </c>
      <c r="P243" s="18"/>
      <c r="Q243" s="17"/>
    </row>
    <row r="244" spans="1:17" ht="15" customHeight="1" x14ac:dyDescent="0.35">
      <c r="A244" s="29"/>
      <c r="B244" s="25"/>
      <c r="C244" s="25"/>
      <c r="D244" s="25"/>
      <c r="E244" s="25"/>
      <c r="F244" s="25"/>
      <c r="G244" s="25"/>
      <c r="H244" s="26"/>
      <c r="I244" s="27"/>
      <c r="J244" s="25"/>
      <c r="K244" s="28"/>
      <c r="L244" s="17"/>
      <c r="M244" s="17"/>
      <c r="N244" s="9" t="str">
        <f t="shared" si="6"/>
        <v/>
      </c>
      <c r="O244" s="9" t="str">
        <f t="shared" si="7"/>
        <v/>
      </c>
      <c r="P244" s="18"/>
      <c r="Q244" s="17"/>
    </row>
    <row r="245" spans="1:17" ht="15" customHeight="1" x14ac:dyDescent="0.35">
      <c r="A245" s="29"/>
      <c r="B245" s="25"/>
      <c r="C245" s="25"/>
      <c r="D245" s="25"/>
      <c r="E245" s="25"/>
      <c r="F245" s="25"/>
      <c r="G245" s="25"/>
      <c r="H245" s="26"/>
      <c r="I245" s="27"/>
      <c r="J245" s="25"/>
      <c r="K245" s="28"/>
      <c r="L245" s="17"/>
      <c r="M245" s="17"/>
      <c r="N245" s="9" t="str">
        <f t="shared" si="6"/>
        <v/>
      </c>
      <c r="O245" s="9" t="str">
        <f t="shared" si="7"/>
        <v/>
      </c>
      <c r="P245" s="18"/>
      <c r="Q245" s="17"/>
    </row>
    <row r="246" spans="1:17" ht="15" customHeight="1" x14ac:dyDescent="0.35">
      <c r="A246" s="29"/>
      <c r="B246" s="25"/>
      <c r="C246" s="25"/>
      <c r="D246" s="25"/>
      <c r="E246" s="25"/>
      <c r="F246" s="25"/>
      <c r="G246" s="25"/>
      <c r="H246" s="26"/>
      <c r="I246" s="27"/>
      <c r="J246" s="25"/>
      <c r="K246" s="28"/>
      <c r="L246" s="17"/>
      <c r="M246" s="17"/>
      <c r="N246" s="9" t="str">
        <f t="shared" si="6"/>
        <v/>
      </c>
      <c r="O246" s="9" t="str">
        <f t="shared" si="7"/>
        <v/>
      </c>
      <c r="P246" s="18"/>
      <c r="Q246" s="17"/>
    </row>
    <row r="247" spans="1:17" ht="15" customHeight="1" x14ac:dyDescent="0.35">
      <c r="A247" s="29"/>
      <c r="B247" s="25"/>
      <c r="C247" s="25"/>
      <c r="D247" s="25"/>
      <c r="E247" s="25"/>
      <c r="F247" s="25"/>
      <c r="G247" s="25"/>
      <c r="H247" s="26"/>
      <c r="I247" s="27"/>
      <c r="J247" s="25"/>
      <c r="K247" s="28"/>
      <c r="L247" s="17"/>
      <c r="M247" s="17"/>
      <c r="N247" s="9" t="str">
        <f t="shared" si="6"/>
        <v/>
      </c>
      <c r="O247" s="9" t="str">
        <f t="shared" si="7"/>
        <v/>
      </c>
      <c r="P247" s="18"/>
      <c r="Q247" s="17"/>
    </row>
    <row r="248" spans="1:17" ht="15" customHeight="1" x14ac:dyDescent="0.35">
      <c r="A248" s="29"/>
      <c r="B248" s="25"/>
      <c r="C248" s="25"/>
      <c r="D248" s="25"/>
      <c r="E248" s="25"/>
      <c r="F248" s="25"/>
      <c r="G248" s="25"/>
      <c r="H248" s="26"/>
      <c r="I248" s="27"/>
      <c r="J248" s="25"/>
      <c r="K248" s="28"/>
      <c r="L248" s="17"/>
      <c r="M248" s="17"/>
      <c r="N248" s="9" t="str">
        <f t="shared" si="6"/>
        <v/>
      </c>
      <c r="O248" s="9" t="str">
        <f t="shared" si="7"/>
        <v/>
      </c>
      <c r="P248" s="18"/>
      <c r="Q248" s="17"/>
    </row>
    <row r="249" spans="1:17" ht="15" customHeight="1" x14ac:dyDescent="0.35">
      <c r="A249" s="29"/>
      <c r="B249" s="25"/>
      <c r="C249" s="25"/>
      <c r="D249" s="25"/>
      <c r="E249" s="25"/>
      <c r="F249" s="25"/>
      <c r="G249" s="25"/>
      <c r="H249" s="26"/>
      <c r="I249" s="27"/>
      <c r="J249" s="25"/>
      <c r="K249" s="28"/>
      <c r="L249" s="17"/>
      <c r="M249" s="17"/>
      <c r="N249" s="9" t="str">
        <f t="shared" si="6"/>
        <v/>
      </c>
      <c r="O249" s="9" t="str">
        <f t="shared" si="7"/>
        <v/>
      </c>
      <c r="P249" s="18"/>
      <c r="Q249" s="17"/>
    </row>
    <row r="250" spans="1:17" ht="15" customHeight="1" x14ac:dyDescent="0.35">
      <c r="A250" s="29"/>
      <c r="B250" s="25"/>
      <c r="C250" s="25"/>
      <c r="D250" s="25"/>
      <c r="E250" s="25"/>
      <c r="F250" s="25"/>
      <c r="G250" s="25"/>
      <c r="H250" s="26"/>
      <c r="I250" s="27"/>
      <c r="J250" s="25"/>
      <c r="K250" s="28"/>
      <c r="L250" s="17"/>
      <c r="M250" s="17"/>
      <c r="N250" s="9" t="str">
        <f t="shared" si="6"/>
        <v/>
      </c>
      <c r="O250" s="9" t="str">
        <f t="shared" si="7"/>
        <v/>
      </c>
      <c r="P250" s="18"/>
      <c r="Q250" s="17"/>
    </row>
    <row r="251" spans="1:17" ht="15" customHeight="1" x14ac:dyDescent="0.35">
      <c r="A251" s="29"/>
      <c r="B251" s="25"/>
      <c r="C251" s="25"/>
      <c r="D251" s="25"/>
      <c r="E251" s="25"/>
      <c r="F251" s="25"/>
      <c r="G251" s="25"/>
      <c r="H251" s="26"/>
      <c r="I251" s="27"/>
      <c r="J251" s="25"/>
      <c r="K251" s="28"/>
      <c r="L251" s="17"/>
      <c r="M251" s="17"/>
      <c r="N251" s="9" t="str">
        <f t="shared" si="6"/>
        <v/>
      </c>
      <c r="O251" s="9" t="str">
        <f t="shared" si="7"/>
        <v/>
      </c>
      <c r="P251" s="18"/>
      <c r="Q251" s="17"/>
    </row>
    <row r="252" spans="1:17" ht="15" customHeight="1" x14ac:dyDescent="0.35">
      <c r="A252" s="29"/>
      <c r="B252" s="25"/>
      <c r="C252" s="25"/>
      <c r="D252" s="25"/>
      <c r="E252" s="25"/>
      <c r="F252" s="25"/>
      <c r="G252" s="25"/>
      <c r="H252" s="26"/>
      <c r="I252" s="27"/>
      <c r="J252" s="25"/>
      <c r="K252" s="28"/>
      <c r="L252" s="17"/>
      <c r="M252" s="17"/>
      <c r="N252" s="9" t="str">
        <f t="shared" si="6"/>
        <v/>
      </c>
      <c r="O252" s="9" t="str">
        <f t="shared" si="7"/>
        <v/>
      </c>
      <c r="P252" s="18"/>
      <c r="Q252" s="17"/>
    </row>
    <row r="253" spans="1:17" ht="15" customHeight="1" x14ac:dyDescent="0.35">
      <c r="A253" s="29"/>
      <c r="B253" s="25"/>
      <c r="C253" s="25"/>
      <c r="D253" s="25"/>
      <c r="E253" s="25"/>
      <c r="F253" s="25"/>
      <c r="G253" s="25"/>
      <c r="H253" s="26"/>
      <c r="I253" s="27"/>
      <c r="J253" s="25"/>
      <c r="K253" s="28"/>
      <c r="L253" s="17"/>
      <c r="M253" s="17"/>
      <c r="N253" s="9" t="str">
        <f t="shared" si="6"/>
        <v/>
      </c>
      <c r="O253" s="9" t="str">
        <f t="shared" si="7"/>
        <v/>
      </c>
      <c r="P253" s="18"/>
      <c r="Q253" s="17"/>
    </row>
    <row r="254" spans="1:17" ht="15" customHeight="1" x14ac:dyDescent="0.35">
      <c r="A254" s="29"/>
      <c r="B254" s="25"/>
      <c r="C254" s="25"/>
      <c r="D254" s="25"/>
      <c r="E254" s="25"/>
      <c r="F254" s="25"/>
      <c r="G254" s="25"/>
      <c r="H254" s="26"/>
      <c r="I254" s="27"/>
      <c r="J254" s="25"/>
      <c r="K254" s="28"/>
      <c r="L254" s="17"/>
      <c r="M254" s="17"/>
      <c r="N254" s="9" t="str">
        <f t="shared" si="6"/>
        <v/>
      </c>
      <c r="O254" s="9" t="str">
        <f t="shared" si="7"/>
        <v/>
      </c>
      <c r="P254" s="18"/>
      <c r="Q254" s="17"/>
    </row>
    <row r="255" spans="1:17" ht="15" customHeight="1" x14ac:dyDescent="0.35">
      <c r="A255" s="29"/>
      <c r="B255" s="25"/>
      <c r="C255" s="25"/>
      <c r="D255" s="25"/>
      <c r="E255" s="25"/>
      <c r="F255" s="25"/>
      <c r="G255" s="25"/>
      <c r="H255" s="26"/>
      <c r="I255" s="27"/>
      <c r="J255" s="25"/>
      <c r="K255" s="28"/>
      <c r="L255" s="17"/>
      <c r="M255" s="17"/>
      <c r="N255" s="9" t="str">
        <f t="shared" si="6"/>
        <v/>
      </c>
      <c r="O255" s="9" t="str">
        <f t="shared" si="7"/>
        <v/>
      </c>
      <c r="P255" s="18"/>
      <c r="Q255" s="17"/>
    </row>
    <row r="256" spans="1:17" ht="15" customHeight="1" x14ac:dyDescent="0.35">
      <c r="A256" s="29"/>
      <c r="B256" s="25"/>
      <c r="C256" s="25"/>
      <c r="D256" s="25"/>
      <c r="E256" s="25"/>
      <c r="F256" s="25"/>
      <c r="G256" s="25"/>
      <c r="H256" s="26"/>
      <c r="I256" s="27"/>
      <c r="J256" s="25"/>
      <c r="K256" s="28"/>
      <c r="L256" s="17"/>
      <c r="M256" s="17"/>
      <c r="N256" s="9" t="str">
        <f t="shared" si="6"/>
        <v/>
      </c>
      <c r="O256" s="9" t="str">
        <f t="shared" si="7"/>
        <v/>
      </c>
      <c r="P256" s="18"/>
      <c r="Q256" s="17"/>
    </row>
    <row r="257" spans="1:17" ht="15" customHeight="1" x14ac:dyDescent="0.35">
      <c r="A257" s="29"/>
      <c r="B257" s="25"/>
      <c r="C257" s="25"/>
      <c r="D257" s="25"/>
      <c r="E257" s="25"/>
      <c r="F257" s="25"/>
      <c r="G257" s="25"/>
      <c r="H257" s="26"/>
      <c r="I257" s="27"/>
      <c r="J257" s="25"/>
      <c r="K257" s="28"/>
      <c r="L257" s="17"/>
      <c r="M257" s="17"/>
      <c r="N257" s="9" t="str">
        <f t="shared" si="6"/>
        <v/>
      </c>
      <c r="O257" s="9" t="str">
        <f t="shared" si="7"/>
        <v/>
      </c>
      <c r="P257" s="18"/>
      <c r="Q257" s="17"/>
    </row>
    <row r="258" spans="1:17" ht="15" customHeight="1" x14ac:dyDescent="0.35">
      <c r="A258" s="29"/>
      <c r="B258" s="25"/>
      <c r="C258" s="25"/>
      <c r="D258" s="25"/>
      <c r="E258" s="25"/>
      <c r="F258" s="25"/>
      <c r="G258" s="25"/>
      <c r="H258" s="26"/>
      <c r="I258" s="27"/>
      <c r="J258" s="25"/>
      <c r="K258" s="28"/>
      <c r="L258" s="17"/>
      <c r="M258" s="17"/>
      <c r="N258" s="9" t="str">
        <f t="shared" ref="N258:N321" si="8">IF(M258="","",IF(M258="Push",0,IF(M258="Void",0,IF(M258="W",IF(H258&gt;0,K258*H258/100,K258*100/ABS(H258)),-K258))))</f>
        <v/>
      </c>
      <c r="O258" s="9" t="str">
        <f t="shared" si="7"/>
        <v/>
      </c>
      <c r="P258" s="18"/>
      <c r="Q258" s="17"/>
    </row>
    <row r="259" spans="1:17" ht="15" customHeight="1" x14ac:dyDescent="0.35">
      <c r="A259" s="29"/>
      <c r="B259" s="25"/>
      <c r="C259" s="25"/>
      <c r="D259" s="25"/>
      <c r="E259" s="25"/>
      <c r="F259" s="25"/>
      <c r="G259" s="25"/>
      <c r="H259" s="26"/>
      <c r="I259" s="27"/>
      <c r="J259" s="25"/>
      <c r="K259" s="28"/>
      <c r="L259" s="17"/>
      <c r="M259" s="17"/>
      <c r="N259" s="9" t="str">
        <f t="shared" si="8"/>
        <v/>
      </c>
      <c r="O259" s="9" t="str">
        <f t="shared" ref="O259:O322" si="9">IF(N259="","",O258+N259)</f>
        <v/>
      </c>
      <c r="P259" s="18"/>
      <c r="Q259" s="17"/>
    </row>
    <row r="260" spans="1:17" ht="15" customHeight="1" x14ac:dyDescent="0.35">
      <c r="A260" s="29"/>
      <c r="B260" s="25"/>
      <c r="C260" s="25"/>
      <c r="D260" s="25"/>
      <c r="E260" s="25"/>
      <c r="F260" s="25"/>
      <c r="G260" s="25"/>
      <c r="H260" s="26"/>
      <c r="I260" s="27"/>
      <c r="J260" s="25"/>
      <c r="K260" s="28"/>
      <c r="L260" s="17"/>
      <c r="M260" s="17"/>
      <c r="N260" s="9" t="str">
        <f t="shared" si="8"/>
        <v/>
      </c>
      <c r="O260" s="9" t="str">
        <f t="shared" si="9"/>
        <v/>
      </c>
      <c r="P260" s="18"/>
      <c r="Q260" s="17"/>
    </row>
    <row r="261" spans="1:17" ht="15" customHeight="1" x14ac:dyDescent="0.35">
      <c r="A261" s="29"/>
      <c r="B261" s="25"/>
      <c r="C261" s="25"/>
      <c r="D261" s="25"/>
      <c r="E261" s="25"/>
      <c r="F261" s="25"/>
      <c r="G261" s="25"/>
      <c r="H261" s="26"/>
      <c r="I261" s="27"/>
      <c r="J261" s="25"/>
      <c r="K261" s="28"/>
      <c r="L261" s="17"/>
      <c r="M261" s="17"/>
      <c r="N261" s="9" t="str">
        <f t="shared" si="8"/>
        <v/>
      </c>
      <c r="O261" s="9" t="str">
        <f t="shared" si="9"/>
        <v/>
      </c>
      <c r="P261" s="18"/>
      <c r="Q261" s="17"/>
    </row>
    <row r="262" spans="1:17" ht="15" customHeight="1" x14ac:dyDescent="0.35">
      <c r="A262" s="29"/>
      <c r="B262" s="25"/>
      <c r="C262" s="25"/>
      <c r="D262" s="25"/>
      <c r="E262" s="25"/>
      <c r="F262" s="25"/>
      <c r="G262" s="25"/>
      <c r="H262" s="26"/>
      <c r="I262" s="27"/>
      <c r="J262" s="25"/>
      <c r="K262" s="28"/>
      <c r="L262" s="17"/>
      <c r="M262" s="17"/>
      <c r="N262" s="9" t="str">
        <f t="shared" si="8"/>
        <v/>
      </c>
      <c r="O262" s="9" t="str">
        <f t="shared" si="9"/>
        <v/>
      </c>
      <c r="P262" s="18"/>
      <c r="Q262" s="17"/>
    </row>
    <row r="263" spans="1:17" ht="15" customHeight="1" x14ac:dyDescent="0.35">
      <c r="A263" s="29"/>
      <c r="B263" s="25"/>
      <c r="C263" s="25"/>
      <c r="D263" s="25"/>
      <c r="E263" s="25"/>
      <c r="F263" s="25"/>
      <c r="G263" s="25"/>
      <c r="H263" s="26"/>
      <c r="I263" s="27"/>
      <c r="J263" s="25"/>
      <c r="K263" s="28"/>
      <c r="L263" s="17"/>
      <c r="M263" s="17"/>
      <c r="N263" s="9" t="str">
        <f t="shared" si="8"/>
        <v/>
      </c>
      <c r="O263" s="9" t="str">
        <f t="shared" si="9"/>
        <v/>
      </c>
      <c r="P263" s="18"/>
      <c r="Q263" s="17"/>
    </row>
    <row r="264" spans="1:17" ht="15" customHeight="1" x14ac:dyDescent="0.35">
      <c r="A264" s="29"/>
      <c r="B264" s="25"/>
      <c r="C264" s="25"/>
      <c r="D264" s="25"/>
      <c r="E264" s="25"/>
      <c r="F264" s="25"/>
      <c r="G264" s="25"/>
      <c r="H264" s="26"/>
      <c r="I264" s="27"/>
      <c r="J264" s="25"/>
      <c r="K264" s="28"/>
      <c r="L264" s="17"/>
      <c r="M264" s="17"/>
      <c r="N264" s="9" t="str">
        <f t="shared" si="8"/>
        <v/>
      </c>
      <c r="O264" s="9" t="str">
        <f t="shared" si="9"/>
        <v/>
      </c>
      <c r="P264" s="18"/>
      <c r="Q264" s="17"/>
    </row>
    <row r="265" spans="1:17" ht="15" customHeight="1" x14ac:dyDescent="0.35">
      <c r="A265" s="29"/>
      <c r="B265" s="25"/>
      <c r="C265" s="25"/>
      <c r="D265" s="25"/>
      <c r="E265" s="25"/>
      <c r="F265" s="25"/>
      <c r="G265" s="25"/>
      <c r="H265" s="26"/>
      <c r="I265" s="27"/>
      <c r="J265" s="25"/>
      <c r="K265" s="28"/>
      <c r="L265" s="17"/>
      <c r="M265" s="17"/>
      <c r="N265" s="9" t="str">
        <f t="shared" si="8"/>
        <v/>
      </c>
      <c r="O265" s="9" t="str">
        <f t="shared" si="9"/>
        <v/>
      </c>
      <c r="P265" s="18"/>
      <c r="Q265" s="17"/>
    </row>
    <row r="266" spans="1:17" ht="15" customHeight="1" x14ac:dyDescent="0.35">
      <c r="A266" s="29"/>
      <c r="B266" s="25"/>
      <c r="C266" s="25"/>
      <c r="D266" s="25"/>
      <c r="E266" s="25"/>
      <c r="F266" s="25"/>
      <c r="G266" s="25"/>
      <c r="H266" s="26"/>
      <c r="I266" s="27"/>
      <c r="J266" s="25"/>
      <c r="K266" s="28"/>
      <c r="L266" s="17"/>
      <c r="M266" s="17"/>
      <c r="N266" s="9" t="str">
        <f t="shared" si="8"/>
        <v/>
      </c>
      <c r="O266" s="9" t="str">
        <f t="shared" si="9"/>
        <v/>
      </c>
      <c r="P266" s="18"/>
      <c r="Q266" s="17"/>
    </row>
    <row r="267" spans="1:17" ht="15" customHeight="1" x14ac:dyDescent="0.35">
      <c r="A267" s="29"/>
      <c r="B267" s="25"/>
      <c r="C267" s="25"/>
      <c r="D267" s="25"/>
      <c r="E267" s="25"/>
      <c r="F267" s="25"/>
      <c r="G267" s="25"/>
      <c r="H267" s="26"/>
      <c r="I267" s="27"/>
      <c r="J267" s="25"/>
      <c r="K267" s="28"/>
      <c r="L267" s="17"/>
      <c r="M267" s="17"/>
      <c r="N267" s="9" t="str">
        <f t="shared" si="8"/>
        <v/>
      </c>
      <c r="O267" s="9" t="str">
        <f t="shared" si="9"/>
        <v/>
      </c>
      <c r="P267" s="18"/>
      <c r="Q267" s="17"/>
    </row>
    <row r="268" spans="1:17" ht="15" customHeight="1" x14ac:dyDescent="0.35">
      <c r="A268" s="29"/>
      <c r="B268" s="25"/>
      <c r="C268" s="25"/>
      <c r="D268" s="25"/>
      <c r="E268" s="25"/>
      <c r="F268" s="25"/>
      <c r="G268" s="25"/>
      <c r="H268" s="26"/>
      <c r="I268" s="27"/>
      <c r="J268" s="25"/>
      <c r="K268" s="28"/>
      <c r="L268" s="17"/>
      <c r="M268" s="17"/>
      <c r="N268" s="9" t="str">
        <f t="shared" si="8"/>
        <v/>
      </c>
      <c r="O268" s="9" t="str">
        <f t="shared" si="9"/>
        <v/>
      </c>
      <c r="P268" s="18"/>
      <c r="Q268" s="17"/>
    </row>
    <row r="269" spans="1:17" ht="15" customHeight="1" x14ac:dyDescent="0.35">
      <c r="A269" s="29"/>
      <c r="B269" s="25"/>
      <c r="C269" s="25"/>
      <c r="D269" s="25"/>
      <c r="E269" s="25"/>
      <c r="F269" s="25"/>
      <c r="G269" s="25"/>
      <c r="H269" s="26"/>
      <c r="I269" s="27"/>
      <c r="J269" s="25"/>
      <c r="K269" s="28"/>
      <c r="L269" s="17"/>
      <c r="M269" s="17"/>
      <c r="N269" s="9" t="str">
        <f t="shared" si="8"/>
        <v/>
      </c>
      <c r="O269" s="9" t="str">
        <f t="shared" si="9"/>
        <v/>
      </c>
      <c r="P269" s="18"/>
      <c r="Q269" s="17"/>
    </row>
    <row r="270" spans="1:17" ht="15" customHeight="1" x14ac:dyDescent="0.35">
      <c r="A270" s="29"/>
      <c r="B270" s="25"/>
      <c r="C270" s="25"/>
      <c r="D270" s="25"/>
      <c r="E270" s="25"/>
      <c r="F270" s="25"/>
      <c r="G270" s="25"/>
      <c r="H270" s="26"/>
      <c r="I270" s="27"/>
      <c r="J270" s="25"/>
      <c r="K270" s="28"/>
      <c r="L270" s="17"/>
      <c r="M270" s="17"/>
      <c r="N270" s="9" t="str">
        <f t="shared" si="8"/>
        <v/>
      </c>
      <c r="O270" s="9" t="str">
        <f t="shared" si="9"/>
        <v/>
      </c>
      <c r="P270" s="18"/>
      <c r="Q270" s="17"/>
    </row>
    <row r="271" spans="1:17" ht="15" customHeight="1" x14ac:dyDescent="0.35">
      <c r="A271" s="29"/>
      <c r="B271" s="25"/>
      <c r="C271" s="25"/>
      <c r="D271" s="25"/>
      <c r="E271" s="25"/>
      <c r="F271" s="25"/>
      <c r="G271" s="25"/>
      <c r="H271" s="26"/>
      <c r="I271" s="27"/>
      <c r="J271" s="25"/>
      <c r="K271" s="28"/>
      <c r="L271" s="17"/>
      <c r="M271" s="17"/>
      <c r="N271" s="9" t="str">
        <f t="shared" si="8"/>
        <v/>
      </c>
      <c r="O271" s="9" t="str">
        <f t="shared" si="9"/>
        <v/>
      </c>
      <c r="P271" s="18"/>
      <c r="Q271" s="17"/>
    </row>
    <row r="272" spans="1:17" ht="15" customHeight="1" x14ac:dyDescent="0.35">
      <c r="A272" s="29"/>
      <c r="B272" s="25"/>
      <c r="C272" s="25"/>
      <c r="D272" s="25"/>
      <c r="E272" s="25"/>
      <c r="F272" s="25"/>
      <c r="G272" s="25"/>
      <c r="H272" s="26"/>
      <c r="I272" s="27"/>
      <c r="J272" s="25"/>
      <c r="K272" s="28"/>
      <c r="L272" s="17"/>
      <c r="M272" s="17"/>
      <c r="N272" s="9" t="str">
        <f t="shared" si="8"/>
        <v/>
      </c>
      <c r="O272" s="9" t="str">
        <f t="shared" si="9"/>
        <v/>
      </c>
      <c r="P272" s="18"/>
      <c r="Q272" s="17"/>
    </row>
    <row r="273" spans="1:17" ht="15" customHeight="1" x14ac:dyDescent="0.35">
      <c r="A273" s="29"/>
      <c r="B273" s="25"/>
      <c r="C273" s="25"/>
      <c r="D273" s="25"/>
      <c r="E273" s="25"/>
      <c r="F273" s="25"/>
      <c r="G273" s="25"/>
      <c r="H273" s="26"/>
      <c r="I273" s="27"/>
      <c r="J273" s="25"/>
      <c r="K273" s="28"/>
      <c r="L273" s="17"/>
      <c r="M273" s="17"/>
      <c r="N273" s="9" t="str">
        <f t="shared" si="8"/>
        <v/>
      </c>
      <c r="O273" s="9" t="str">
        <f t="shared" si="9"/>
        <v/>
      </c>
      <c r="P273" s="18"/>
      <c r="Q273" s="17"/>
    </row>
    <row r="274" spans="1:17" ht="15" customHeight="1" x14ac:dyDescent="0.35">
      <c r="A274" s="29"/>
      <c r="B274" s="25"/>
      <c r="C274" s="25"/>
      <c r="D274" s="25"/>
      <c r="E274" s="25"/>
      <c r="F274" s="25"/>
      <c r="G274" s="25"/>
      <c r="H274" s="26"/>
      <c r="I274" s="27"/>
      <c r="J274" s="25"/>
      <c r="K274" s="28"/>
      <c r="L274" s="17"/>
      <c r="M274" s="17"/>
      <c r="N274" s="9" t="str">
        <f t="shared" si="8"/>
        <v/>
      </c>
      <c r="O274" s="9" t="str">
        <f t="shared" si="9"/>
        <v/>
      </c>
      <c r="P274" s="18"/>
      <c r="Q274" s="17"/>
    </row>
    <row r="275" spans="1:17" ht="15" customHeight="1" x14ac:dyDescent="0.35">
      <c r="A275" s="29"/>
      <c r="B275" s="25"/>
      <c r="C275" s="25"/>
      <c r="D275" s="25"/>
      <c r="E275" s="25"/>
      <c r="F275" s="25"/>
      <c r="G275" s="25"/>
      <c r="H275" s="26"/>
      <c r="I275" s="27"/>
      <c r="J275" s="25"/>
      <c r="K275" s="28"/>
      <c r="L275" s="17"/>
      <c r="M275" s="17"/>
      <c r="N275" s="9" t="str">
        <f t="shared" si="8"/>
        <v/>
      </c>
      <c r="O275" s="9" t="str">
        <f t="shared" si="9"/>
        <v/>
      </c>
      <c r="P275" s="18"/>
      <c r="Q275" s="17"/>
    </row>
    <row r="276" spans="1:17" ht="15" customHeight="1" x14ac:dyDescent="0.35">
      <c r="A276" s="29"/>
      <c r="B276" s="25"/>
      <c r="C276" s="25"/>
      <c r="D276" s="25"/>
      <c r="E276" s="25"/>
      <c r="F276" s="25"/>
      <c r="G276" s="25"/>
      <c r="H276" s="26"/>
      <c r="I276" s="27"/>
      <c r="J276" s="25"/>
      <c r="K276" s="28"/>
      <c r="L276" s="17"/>
      <c r="M276" s="17"/>
      <c r="N276" s="9" t="str">
        <f t="shared" si="8"/>
        <v/>
      </c>
      <c r="O276" s="9" t="str">
        <f t="shared" si="9"/>
        <v/>
      </c>
      <c r="P276" s="18"/>
      <c r="Q276" s="17"/>
    </row>
    <row r="277" spans="1:17" ht="15" customHeight="1" x14ac:dyDescent="0.35">
      <c r="A277" s="29"/>
      <c r="B277" s="25"/>
      <c r="C277" s="25"/>
      <c r="D277" s="25"/>
      <c r="E277" s="25"/>
      <c r="F277" s="25"/>
      <c r="G277" s="25"/>
      <c r="H277" s="26"/>
      <c r="I277" s="27"/>
      <c r="J277" s="25"/>
      <c r="K277" s="28"/>
      <c r="L277" s="17"/>
      <c r="M277" s="17"/>
      <c r="N277" s="9" t="str">
        <f t="shared" si="8"/>
        <v/>
      </c>
      <c r="O277" s="9" t="str">
        <f t="shared" si="9"/>
        <v/>
      </c>
      <c r="P277" s="18"/>
      <c r="Q277" s="17"/>
    </row>
    <row r="278" spans="1:17" ht="15" customHeight="1" x14ac:dyDescent="0.35">
      <c r="A278" s="29"/>
      <c r="B278" s="25"/>
      <c r="C278" s="25"/>
      <c r="D278" s="25"/>
      <c r="E278" s="25"/>
      <c r="F278" s="25"/>
      <c r="G278" s="25"/>
      <c r="H278" s="26"/>
      <c r="I278" s="27"/>
      <c r="J278" s="25"/>
      <c r="K278" s="28"/>
      <c r="L278" s="17"/>
      <c r="M278" s="17"/>
      <c r="N278" s="9" t="str">
        <f t="shared" si="8"/>
        <v/>
      </c>
      <c r="O278" s="9" t="str">
        <f t="shared" si="9"/>
        <v/>
      </c>
      <c r="P278" s="18"/>
      <c r="Q278" s="17"/>
    </row>
    <row r="279" spans="1:17" ht="15" customHeight="1" x14ac:dyDescent="0.35">
      <c r="A279" s="29"/>
      <c r="B279" s="25"/>
      <c r="C279" s="25"/>
      <c r="D279" s="25"/>
      <c r="E279" s="25"/>
      <c r="F279" s="25"/>
      <c r="G279" s="25"/>
      <c r="H279" s="26"/>
      <c r="I279" s="27"/>
      <c r="J279" s="25"/>
      <c r="K279" s="28"/>
      <c r="L279" s="17"/>
      <c r="M279" s="17"/>
      <c r="N279" s="9" t="str">
        <f t="shared" si="8"/>
        <v/>
      </c>
      <c r="O279" s="9" t="str">
        <f t="shared" si="9"/>
        <v/>
      </c>
      <c r="P279" s="18"/>
      <c r="Q279" s="17"/>
    </row>
    <row r="280" spans="1:17" ht="15" customHeight="1" x14ac:dyDescent="0.35">
      <c r="A280" s="29"/>
      <c r="B280" s="25"/>
      <c r="C280" s="25"/>
      <c r="D280" s="25"/>
      <c r="E280" s="25"/>
      <c r="F280" s="25"/>
      <c r="G280" s="25"/>
      <c r="H280" s="26"/>
      <c r="I280" s="27"/>
      <c r="J280" s="25"/>
      <c r="K280" s="28"/>
      <c r="L280" s="17"/>
      <c r="M280" s="17"/>
      <c r="N280" s="9" t="str">
        <f t="shared" si="8"/>
        <v/>
      </c>
      <c r="O280" s="9" t="str">
        <f t="shared" si="9"/>
        <v/>
      </c>
      <c r="P280" s="18"/>
      <c r="Q280" s="17"/>
    </row>
    <row r="281" spans="1:17" ht="15" customHeight="1" x14ac:dyDescent="0.35">
      <c r="A281" s="29"/>
      <c r="B281" s="25"/>
      <c r="C281" s="25"/>
      <c r="D281" s="25"/>
      <c r="E281" s="25"/>
      <c r="F281" s="25"/>
      <c r="G281" s="25"/>
      <c r="H281" s="26"/>
      <c r="I281" s="27"/>
      <c r="J281" s="25"/>
      <c r="K281" s="28"/>
      <c r="L281" s="17"/>
      <c r="M281" s="17"/>
      <c r="N281" s="9" t="str">
        <f t="shared" si="8"/>
        <v/>
      </c>
      <c r="O281" s="9" t="str">
        <f t="shared" si="9"/>
        <v/>
      </c>
      <c r="P281" s="18"/>
      <c r="Q281" s="17"/>
    </row>
    <row r="282" spans="1:17" ht="15" customHeight="1" x14ac:dyDescent="0.35">
      <c r="A282" s="29"/>
      <c r="B282" s="25"/>
      <c r="C282" s="25"/>
      <c r="D282" s="25"/>
      <c r="E282" s="25"/>
      <c r="F282" s="25"/>
      <c r="G282" s="25"/>
      <c r="H282" s="26"/>
      <c r="I282" s="27"/>
      <c r="J282" s="25"/>
      <c r="K282" s="28"/>
      <c r="L282" s="17"/>
      <c r="M282" s="17"/>
      <c r="N282" s="9" t="str">
        <f t="shared" si="8"/>
        <v/>
      </c>
      <c r="O282" s="9" t="str">
        <f t="shared" si="9"/>
        <v/>
      </c>
      <c r="P282" s="18"/>
      <c r="Q282" s="17"/>
    </row>
    <row r="283" spans="1:17" ht="15" customHeight="1" x14ac:dyDescent="0.35">
      <c r="A283" s="29"/>
      <c r="B283" s="25"/>
      <c r="C283" s="25"/>
      <c r="D283" s="25"/>
      <c r="E283" s="25"/>
      <c r="F283" s="25"/>
      <c r="G283" s="25"/>
      <c r="H283" s="26"/>
      <c r="I283" s="27"/>
      <c r="J283" s="25"/>
      <c r="K283" s="28"/>
      <c r="L283" s="17"/>
      <c r="M283" s="17"/>
      <c r="N283" s="9" t="str">
        <f t="shared" si="8"/>
        <v/>
      </c>
      <c r="O283" s="9" t="str">
        <f t="shared" si="9"/>
        <v/>
      </c>
      <c r="P283" s="18"/>
      <c r="Q283" s="17"/>
    </row>
    <row r="284" spans="1:17" ht="15" customHeight="1" x14ac:dyDescent="0.35">
      <c r="A284" s="29"/>
      <c r="B284" s="25"/>
      <c r="C284" s="25"/>
      <c r="D284" s="25"/>
      <c r="E284" s="25"/>
      <c r="F284" s="25"/>
      <c r="G284" s="25"/>
      <c r="H284" s="26"/>
      <c r="I284" s="27"/>
      <c r="J284" s="25"/>
      <c r="K284" s="28"/>
      <c r="L284" s="17"/>
      <c r="M284" s="17"/>
      <c r="N284" s="9" t="str">
        <f t="shared" si="8"/>
        <v/>
      </c>
      <c r="O284" s="9" t="str">
        <f t="shared" si="9"/>
        <v/>
      </c>
      <c r="P284" s="18"/>
      <c r="Q284" s="17"/>
    </row>
    <row r="285" spans="1:17" ht="15" customHeight="1" x14ac:dyDescent="0.35">
      <c r="A285" s="29"/>
      <c r="B285" s="25"/>
      <c r="C285" s="25"/>
      <c r="D285" s="25"/>
      <c r="E285" s="25"/>
      <c r="F285" s="25"/>
      <c r="G285" s="25"/>
      <c r="H285" s="26"/>
      <c r="I285" s="27"/>
      <c r="J285" s="25"/>
      <c r="K285" s="28"/>
      <c r="L285" s="17"/>
      <c r="M285" s="17"/>
      <c r="N285" s="9" t="str">
        <f t="shared" si="8"/>
        <v/>
      </c>
      <c r="O285" s="9" t="str">
        <f t="shared" si="9"/>
        <v/>
      </c>
      <c r="P285" s="18"/>
      <c r="Q285" s="17"/>
    </row>
    <row r="286" spans="1:17" ht="15" customHeight="1" x14ac:dyDescent="0.35">
      <c r="A286" s="29"/>
      <c r="B286" s="25"/>
      <c r="C286" s="25"/>
      <c r="D286" s="25"/>
      <c r="E286" s="25"/>
      <c r="F286" s="25"/>
      <c r="G286" s="25"/>
      <c r="H286" s="26"/>
      <c r="I286" s="27"/>
      <c r="J286" s="25"/>
      <c r="K286" s="28"/>
      <c r="L286" s="17"/>
      <c r="M286" s="17"/>
      <c r="N286" s="9" t="str">
        <f t="shared" si="8"/>
        <v/>
      </c>
      <c r="O286" s="9" t="str">
        <f t="shared" si="9"/>
        <v/>
      </c>
      <c r="P286" s="18"/>
      <c r="Q286" s="17"/>
    </row>
    <row r="287" spans="1:17" ht="15" customHeight="1" x14ac:dyDescent="0.35">
      <c r="A287" s="29"/>
      <c r="B287" s="25"/>
      <c r="C287" s="25"/>
      <c r="D287" s="25"/>
      <c r="E287" s="25"/>
      <c r="F287" s="25"/>
      <c r="G287" s="25"/>
      <c r="H287" s="26"/>
      <c r="I287" s="27"/>
      <c r="J287" s="25"/>
      <c r="K287" s="28"/>
      <c r="L287" s="17"/>
      <c r="M287" s="17"/>
      <c r="N287" s="9" t="str">
        <f t="shared" si="8"/>
        <v/>
      </c>
      <c r="O287" s="9" t="str">
        <f t="shared" si="9"/>
        <v/>
      </c>
      <c r="P287" s="18"/>
      <c r="Q287" s="17"/>
    </row>
    <row r="288" spans="1:17" ht="15" customHeight="1" x14ac:dyDescent="0.35">
      <c r="A288" s="29"/>
      <c r="B288" s="25"/>
      <c r="C288" s="25"/>
      <c r="D288" s="25"/>
      <c r="E288" s="25"/>
      <c r="F288" s="25"/>
      <c r="G288" s="25"/>
      <c r="H288" s="26"/>
      <c r="I288" s="27"/>
      <c r="J288" s="25"/>
      <c r="K288" s="28"/>
      <c r="L288" s="17"/>
      <c r="M288" s="17"/>
      <c r="N288" s="9" t="str">
        <f t="shared" si="8"/>
        <v/>
      </c>
      <c r="O288" s="9" t="str">
        <f t="shared" si="9"/>
        <v/>
      </c>
      <c r="P288" s="18"/>
      <c r="Q288" s="17"/>
    </row>
    <row r="289" spans="1:17" ht="15" customHeight="1" x14ac:dyDescent="0.35">
      <c r="A289" s="29"/>
      <c r="B289" s="25"/>
      <c r="C289" s="25"/>
      <c r="D289" s="25"/>
      <c r="E289" s="25"/>
      <c r="F289" s="25"/>
      <c r="G289" s="25"/>
      <c r="H289" s="26"/>
      <c r="I289" s="27"/>
      <c r="J289" s="25"/>
      <c r="K289" s="28"/>
      <c r="L289" s="17"/>
      <c r="M289" s="17"/>
      <c r="N289" s="9" t="str">
        <f t="shared" si="8"/>
        <v/>
      </c>
      <c r="O289" s="9" t="str">
        <f t="shared" si="9"/>
        <v/>
      </c>
      <c r="P289" s="18"/>
      <c r="Q289" s="17"/>
    </row>
    <row r="290" spans="1:17" ht="15" customHeight="1" x14ac:dyDescent="0.35">
      <c r="A290" s="29"/>
      <c r="B290" s="25"/>
      <c r="C290" s="25"/>
      <c r="D290" s="25"/>
      <c r="E290" s="25"/>
      <c r="F290" s="25"/>
      <c r="G290" s="25"/>
      <c r="H290" s="26"/>
      <c r="I290" s="27"/>
      <c r="J290" s="25"/>
      <c r="K290" s="28"/>
      <c r="L290" s="17"/>
      <c r="M290" s="17"/>
      <c r="N290" s="9" t="str">
        <f t="shared" si="8"/>
        <v/>
      </c>
      <c r="O290" s="9" t="str">
        <f t="shared" si="9"/>
        <v/>
      </c>
      <c r="P290" s="18"/>
      <c r="Q290" s="17"/>
    </row>
    <row r="291" spans="1:17" ht="15" customHeight="1" x14ac:dyDescent="0.35">
      <c r="A291" s="29"/>
      <c r="B291" s="25"/>
      <c r="C291" s="25"/>
      <c r="D291" s="25"/>
      <c r="E291" s="25"/>
      <c r="F291" s="25"/>
      <c r="G291" s="25"/>
      <c r="H291" s="26"/>
      <c r="I291" s="27"/>
      <c r="J291" s="25"/>
      <c r="K291" s="28"/>
      <c r="L291" s="17"/>
      <c r="M291" s="17"/>
      <c r="N291" s="9" t="str">
        <f t="shared" si="8"/>
        <v/>
      </c>
      <c r="O291" s="9" t="str">
        <f t="shared" si="9"/>
        <v/>
      </c>
      <c r="P291" s="18"/>
      <c r="Q291" s="17"/>
    </row>
    <row r="292" spans="1:17" ht="15" customHeight="1" x14ac:dyDescent="0.35">
      <c r="A292" s="29"/>
      <c r="B292" s="25"/>
      <c r="C292" s="25"/>
      <c r="D292" s="25"/>
      <c r="E292" s="25"/>
      <c r="F292" s="25"/>
      <c r="G292" s="25"/>
      <c r="H292" s="26"/>
      <c r="I292" s="27"/>
      <c r="J292" s="25"/>
      <c r="K292" s="28"/>
      <c r="L292" s="17"/>
      <c r="M292" s="17"/>
      <c r="N292" s="9" t="str">
        <f t="shared" si="8"/>
        <v/>
      </c>
      <c r="O292" s="9" t="str">
        <f t="shared" si="9"/>
        <v/>
      </c>
      <c r="P292" s="18"/>
      <c r="Q292" s="17"/>
    </row>
    <row r="293" spans="1:17" ht="15" customHeight="1" x14ac:dyDescent="0.35">
      <c r="A293" s="29"/>
      <c r="B293" s="25"/>
      <c r="C293" s="25"/>
      <c r="D293" s="25"/>
      <c r="E293" s="25"/>
      <c r="F293" s="25"/>
      <c r="G293" s="25"/>
      <c r="H293" s="26"/>
      <c r="I293" s="27"/>
      <c r="J293" s="25"/>
      <c r="K293" s="28"/>
      <c r="L293" s="17"/>
      <c r="M293" s="17"/>
      <c r="N293" s="9" t="str">
        <f t="shared" si="8"/>
        <v/>
      </c>
      <c r="O293" s="9" t="str">
        <f t="shared" si="9"/>
        <v/>
      </c>
      <c r="P293" s="18"/>
      <c r="Q293" s="17"/>
    </row>
    <row r="294" spans="1:17" ht="15" customHeight="1" x14ac:dyDescent="0.35">
      <c r="A294" s="29"/>
      <c r="B294" s="25"/>
      <c r="C294" s="25"/>
      <c r="D294" s="25"/>
      <c r="E294" s="25"/>
      <c r="F294" s="25"/>
      <c r="G294" s="25"/>
      <c r="H294" s="26"/>
      <c r="I294" s="27"/>
      <c r="J294" s="25"/>
      <c r="K294" s="28"/>
      <c r="L294" s="17"/>
      <c r="M294" s="17"/>
      <c r="N294" s="9" t="str">
        <f t="shared" si="8"/>
        <v/>
      </c>
      <c r="O294" s="9" t="str">
        <f t="shared" si="9"/>
        <v/>
      </c>
      <c r="P294" s="18"/>
      <c r="Q294" s="17"/>
    </row>
    <row r="295" spans="1:17" ht="15" customHeight="1" x14ac:dyDescent="0.35">
      <c r="A295" s="29"/>
      <c r="B295" s="25"/>
      <c r="C295" s="25"/>
      <c r="D295" s="25"/>
      <c r="E295" s="25"/>
      <c r="F295" s="25"/>
      <c r="G295" s="25"/>
      <c r="H295" s="26"/>
      <c r="I295" s="27"/>
      <c r="J295" s="25"/>
      <c r="K295" s="28"/>
      <c r="L295" s="17"/>
      <c r="M295" s="17"/>
      <c r="N295" s="9" t="str">
        <f t="shared" si="8"/>
        <v/>
      </c>
      <c r="O295" s="9" t="str">
        <f t="shared" si="9"/>
        <v/>
      </c>
      <c r="P295" s="18"/>
      <c r="Q295" s="17"/>
    </row>
    <row r="296" spans="1:17" ht="15" customHeight="1" x14ac:dyDescent="0.35">
      <c r="A296" s="29"/>
      <c r="B296" s="25"/>
      <c r="C296" s="25"/>
      <c r="D296" s="25"/>
      <c r="E296" s="25"/>
      <c r="F296" s="25"/>
      <c r="G296" s="25"/>
      <c r="H296" s="26"/>
      <c r="I296" s="27"/>
      <c r="J296" s="25"/>
      <c r="K296" s="28"/>
      <c r="L296" s="17"/>
      <c r="M296" s="17"/>
      <c r="N296" s="9" t="str">
        <f t="shared" si="8"/>
        <v/>
      </c>
      <c r="O296" s="9" t="str">
        <f t="shared" si="9"/>
        <v/>
      </c>
      <c r="P296" s="18"/>
      <c r="Q296" s="17"/>
    </row>
    <row r="297" spans="1:17" ht="15" customHeight="1" x14ac:dyDescent="0.35">
      <c r="A297" s="29"/>
      <c r="B297" s="25"/>
      <c r="C297" s="25"/>
      <c r="D297" s="25"/>
      <c r="E297" s="25"/>
      <c r="F297" s="25"/>
      <c r="G297" s="25"/>
      <c r="H297" s="26"/>
      <c r="I297" s="27"/>
      <c r="J297" s="25"/>
      <c r="K297" s="28"/>
      <c r="L297" s="17"/>
      <c r="M297" s="17"/>
      <c r="N297" s="9" t="str">
        <f t="shared" si="8"/>
        <v/>
      </c>
      <c r="O297" s="9" t="str">
        <f t="shared" si="9"/>
        <v/>
      </c>
      <c r="P297" s="18"/>
      <c r="Q297" s="17"/>
    </row>
    <row r="298" spans="1:17" ht="15" customHeight="1" x14ac:dyDescent="0.35">
      <c r="A298" s="29"/>
      <c r="B298" s="25"/>
      <c r="C298" s="25"/>
      <c r="D298" s="25"/>
      <c r="E298" s="25"/>
      <c r="F298" s="25"/>
      <c r="G298" s="25"/>
      <c r="H298" s="26"/>
      <c r="I298" s="27"/>
      <c r="J298" s="25"/>
      <c r="K298" s="28"/>
      <c r="L298" s="17"/>
      <c r="M298" s="17"/>
      <c r="N298" s="9" t="str">
        <f t="shared" si="8"/>
        <v/>
      </c>
      <c r="O298" s="9" t="str">
        <f t="shared" si="9"/>
        <v/>
      </c>
      <c r="P298" s="18"/>
      <c r="Q298" s="17"/>
    </row>
    <row r="299" spans="1:17" ht="15" customHeight="1" x14ac:dyDescent="0.35">
      <c r="A299" s="29"/>
      <c r="B299" s="25"/>
      <c r="C299" s="25"/>
      <c r="D299" s="25"/>
      <c r="E299" s="25"/>
      <c r="F299" s="25"/>
      <c r="G299" s="25"/>
      <c r="H299" s="26"/>
      <c r="I299" s="27"/>
      <c r="J299" s="25"/>
      <c r="K299" s="28"/>
      <c r="L299" s="17"/>
      <c r="M299" s="17"/>
      <c r="N299" s="9" t="str">
        <f t="shared" si="8"/>
        <v/>
      </c>
      <c r="O299" s="9" t="str">
        <f t="shared" si="9"/>
        <v/>
      </c>
      <c r="P299" s="18"/>
      <c r="Q299" s="17"/>
    </row>
    <row r="300" spans="1:17" ht="15" customHeight="1" x14ac:dyDescent="0.35">
      <c r="A300" s="29"/>
      <c r="B300" s="25"/>
      <c r="C300" s="25"/>
      <c r="D300" s="25"/>
      <c r="E300" s="25"/>
      <c r="F300" s="25"/>
      <c r="G300" s="25"/>
      <c r="H300" s="26"/>
      <c r="I300" s="27"/>
      <c r="J300" s="25"/>
      <c r="K300" s="28"/>
      <c r="L300" s="17"/>
      <c r="M300" s="17"/>
      <c r="N300" s="9" t="str">
        <f t="shared" si="8"/>
        <v/>
      </c>
      <c r="O300" s="9" t="str">
        <f t="shared" si="9"/>
        <v/>
      </c>
      <c r="P300" s="18"/>
      <c r="Q300" s="17"/>
    </row>
    <row r="301" spans="1:17" ht="15" customHeight="1" x14ac:dyDescent="0.35">
      <c r="A301" s="29"/>
      <c r="B301" s="25"/>
      <c r="C301" s="25"/>
      <c r="D301" s="25"/>
      <c r="E301" s="25"/>
      <c r="F301" s="25"/>
      <c r="G301" s="25"/>
      <c r="H301" s="26"/>
      <c r="I301" s="27"/>
      <c r="J301" s="25"/>
      <c r="K301" s="28"/>
      <c r="L301" s="17"/>
      <c r="M301" s="17"/>
      <c r="N301" s="9" t="str">
        <f t="shared" si="8"/>
        <v/>
      </c>
      <c r="O301" s="9" t="str">
        <f t="shared" si="9"/>
        <v/>
      </c>
      <c r="P301" s="18"/>
      <c r="Q301" s="17"/>
    </row>
    <row r="302" spans="1:17" ht="15" customHeight="1" x14ac:dyDescent="0.35">
      <c r="A302" s="29"/>
      <c r="B302" s="25"/>
      <c r="C302" s="25"/>
      <c r="D302" s="25"/>
      <c r="E302" s="25"/>
      <c r="F302" s="25"/>
      <c r="G302" s="25"/>
      <c r="H302" s="26"/>
      <c r="I302" s="27"/>
      <c r="J302" s="25"/>
      <c r="K302" s="28"/>
      <c r="L302" s="17"/>
      <c r="M302" s="17"/>
      <c r="N302" s="9" t="str">
        <f t="shared" si="8"/>
        <v/>
      </c>
      <c r="O302" s="9" t="str">
        <f t="shared" si="9"/>
        <v/>
      </c>
      <c r="P302" s="18"/>
      <c r="Q302" s="17"/>
    </row>
    <row r="303" spans="1:17" ht="15" customHeight="1" x14ac:dyDescent="0.35">
      <c r="A303" s="29"/>
      <c r="B303" s="25"/>
      <c r="C303" s="25"/>
      <c r="D303" s="25"/>
      <c r="E303" s="25"/>
      <c r="F303" s="25"/>
      <c r="G303" s="25"/>
      <c r="H303" s="26"/>
      <c r="I303" s="27"/>
      <c r="J303" s="25"/>
      <c r="K303" s="28"/>
      <c r="L303" s="17"/>
      <c r="M303" s="17"/>
      <c r="N303" s="9" t="str">
        <f t="shared" si="8"/>
        <v/>
      </c>
      <c r="O303" s="9" t="str">
        <f t="shared" si="9"/>
        <v/>
      </c>
      <c r="P303" s="18"/>
      <c r="Q303" s="17"/>
    </row>
    <row r="304" spans="1:17" ht="15" customHeight="1" x14ac:dyDescent="0.35">
      <c r="A304" s="29"/>
      <c r="B304" s="25"/>
      <c r="C304" s="25"/>
      <c r="D304" s="25"/>
      <c r="E304" s="25"/>
      <c r="F304" s="25"/>
      <c r="G304" s="25"/>
      <c r="H304" s="26"/>
      <c r="I304" s="27"/>
      <c r="J304" s="25"/>
      <c r="K304" s="28"/>
      <c r="L304" s="17"/>
      <c r="M304" s="17"/>
      <c r="N304" s="9" t="str">
        <f t="shared" si="8"/>
        <v/>
      </c>
      <c r="O304" s="9" t="str">
        <f t="shared" si="9"/>
        <v/>
      </c>
      <c r="P304" s="18"/>
      <c r="Q304" s="17"/>
    </row>
    <row r="305" spans="1:17" ht="15" customHeight="1" x14ac:dyDescent="0.35">
      <c r="A305" s="29"/>
      <c r="B305" s="25"/>
      <c r="C305" s="25"/>
      <c r="D305" s="25"/>
      <c r="E305" s="25"/>
      <c r="F305" s="25"/>
      <c r="G305" s="25"/>
      <c r="H305" s="26"/>
      <c r="I305" s="27"/>
      <c r="J305" s="25"/>
      <c r="K305" s="28"/>
      <c r="L305" s="17"/>
      <c r="M305" s="17"/>
      <c r="N305" s="9" t="str">
        <f t="shared" si="8"/>
        <v/>
      </c>
      <c r="O305" s="9" t="str">
        <f t="shared" si="9"/>
        <v/>
      </c>
      <c r="P305" s="18"/>
      <c r="Q305" s="17"/>
    </row>
    <row r="306" spans="1:17" ht="15" customHeight="1" x14ac:dyDescent="0.35">
      <c r="A306" s="29"/>
      <c r="B306" s="25"/>
      <c r="C306" s="25"/>
      <c r="D306" s="25"/>
      <c r="E306" s="25"/>
      <c r="F306" s="25"/>
      <c r="G306" s="25"/>
      <c r="H306" s="26"/>
      <c r="I306" s="27"/>
      <c r="J306" s="25"/>
      <c r="K306" s="28"/>
      <c r="L306" s="17"/>
      <c r="M306" s="17"/>
      <c r="N306" s="9" t="str">
        <f t="shared" si="8"/>
        <v/>
      </c>
      <c r="O306" s="9" t="str">
        <f t="shared" si="9"/>
        <v/>
      </c>
      <c r="P306" s="18"/>
      <c r="Q306" s="17"/>
    </row>
    <row r="307" spans="1:17" ht="15" customHeight="1" x14ac:dyDescent="0.35">
      <c r="A307" s="29"/>
      <c r="B307" s="25"/>
      <c r="C307" s="25"/>
      <c r="D307" s="25"/>
      <c r="E307" s="25"/>
      <c r="F307" s="25"/>
      <c r="G307" s="25"/>
      <c r="H307" s="26"/>
      <c r="I307" s="27"/>
      <c r="J307" s="25"/>
      <c r="K307" s="28"/>
      <c r="L307" s="17"/>
      <c r="M307" s="17"/>
      <c r="N307" s="9" t="str">
        <f t="shared" si="8"/>
        <v/>
      </c>
      <c r="O307" s="9" t="str">
        <f t="shared" si="9"/>
        <v/>
      </c>
      <c r="P307" s="18"/>
      <c r="Q307" s="17"/>
    </row>
    <row r="308" spans="1:17" ht="15" customHeight="1" x14ac:dyDescent="0.35">
      <c r="A308" s="29"/>
      <c r="B308" s="25"/>
      <c r="C308" s="25"/>
      <c r="D308" s="25"/>
      <c r="E308" s="25"/>
      <c r="F308" s="25"/>
      <c r="G308" s="25"/>
      <c r="H308" s="26"/>
      <c r="I308" s="27"/>
      <c r="J308" s="25"/>
      <c r="K308" s="28"/>
      <c r="L308" s="17"/>
      <c r="M308" s="17"/>
      <c r="N308" s="9" t="str">
        <f t="shared" si="8"/>
        <v/>
      </c>
      <c r="O308" s="9" t="str">
        <f t="shared" si="9"/>
        <v/>
      </c>
      <c r="P308" s="18"/>
      <c r="Q308" s="17"/>
    </row>
    <row r="309" spans="1:17" ht="15" customHeight="1" x14ac:dyDescent="0.35">
      <c r="A309" s="29"/>
      <c r="B309" s="25"/>
      <c r="C309" s="25"/>
      <c r="D309" s="25"/>
      <c r="E309" s="25"/>
      <c r="F309" s="25"/>
      <c r="G309" s="25"/>
      <c r="H309" s="26"/>
      <c r="I309" s="27"/>
      <c r="J309" s="25"/>
      <c r="K309" s="28"/>
      <c r="L309" s="17"/>
      <c r="M309" s="17"/>
      <c r="N309" s="9" t="str">
        <f t="shared" si="8"/>
        <v/>
      </c>
      <c r="O309" s="9" t="str">
        <f t="shared" si="9"/>
        <v/>
      </c>
      <c r="P309" s="18"/>
      <c r="Q309" s="17"/>
    </row>
    <row r="310" spans="1:17" ht="15" customHeight="1" x14ac:dyDescent="0.35">
      <c r="A310" s="29"/>
      <c r="B310" s="25"/>
      <c r="C310" s="25"/>
      <c r="D310" s="25"/>
      <c r="E310" s="25"/>
      <c r="F310" s="25"/>
      <c r="G310" s="25"/>
      <c r="H310" s="26"/>
      <c r="I310" s="27"/>
      <c r="J310" s="25"/>
      <c r="K310" s="28"/>
      <c r="L310" s="17"/>
      <c r="M310" s="17"/>
      <c r="N310" s="9" t="str">
        <f t="shared" si="8"/>
        <v/>
      </c>
      <c r="O310" s="9" t="str">
        <f t="shared" si="9"/>
        <v/>
      </c>
      <c r="P310" s="18"/>
      <c r="Q310" s="17"/>
    </row>
    <row r="311" spans="1:17" ht="15" customHeight="1" x14ac:dyDescent="0.35">
      <c r="A311" s="29"/>
      <c r="B311" s="25"/>
      <c r="C311" s="25"/>
      <c r="D311" s="25"/>
      <c r="E311" s="25"/>
      <c r="F311" s="25"/>
      <c r="G311" s="25"/>
      <c r="H311" s="26"/>
      <c r="I311" s="27"/>
      <c r="J311" s="25"/>
      <c r="K311" s="28"/>
      <c r="L311" s="17"/>
      <c r="M311" s="17"/>
      <c r="N311" s="9" t="str">
        <f t="shared" si="8"/>
        <v/>
      </c>
      <c r="O311" s="9" t="str">
        <f t="shared" si="9"/>
        <v/>
      </c>
      <c r="P311" s="18"/>
      <c r="Q311" s="17"/>
    </row>
    <row r="312" spans="1:17" ht="15" customHeight="1" x14ac:dyDescent="0.35">
      <c r="A312" s="29"/>
      <c r="B312" s="25"/>
      <c r="C312" s="25"/>
      <c r="D312" s="25"/>
      <c r="E312" s="25"/>
      <c r="F312" s="25"/>
      <c r="G312" s="25"/>
      <c r="H312" s="26"/>
      <c r="I312" s="27"/>
      <c r="J312" s="25"/>
      <c r="K312" s="28"/>
      <c r="L312" s="17"/>
      <c r="M312" s="17"/>
      <c r="N312" s="9" t="str">
        <f t="shared" si="8"/>
        <v/>
      </c>
      <c r="O312" s="9" t="str">
        <f t="shared" si="9"/>
        <v/>
      </c>
      <c r="P312" s="18"/>
      <c r="Q312" s="17"/>
    </row>
    <row r="313" spans="1:17" ht="15" customHeight="1" x14ac:dyDescent="0.35">
      <c r="A313" s="29"/>
      <c r="B313" s="25"/>
      <c r="C313" s="25"/>
      <c r="D313" s="25"/>
      <c r="E313" s="25"/>
      <c r="F313" s="25"/>
      <c r="G313" s="25"/>
      <c r="H313" s="26"/>
      <c r="I313" s="27"/>
      <c r="J313" s="25"/>
      <c r="K313" s="28"/>
      <c r="L313" s="17"/>
      <c r="M313" s="17"/>
      <c r="N313" s="9" t="str">
        <f t="shared" si="8"/>
        <v/>
      </c>
      <c r="O313" s="9" t="str">
        <f t="shared" si="9"/>
        <v/>
      </c>
      <c r="P313" s="18"/>
      <c r="Q313" s="17"/>
    </row>
    <row r="314" spans="1:17" ht="15" customHeight="1" x14ac:dyDescent="0.35">
      <c r="A314" s="29"/>
      <c r="B314" s="25"/>
      <c r="C314" s="25"/>
      <c r="D314" s="25"/>
      <c r="E314" s="25"/>
      <c r="F314" s="25"/>
      <c r="G314" s="25"/>
      <c r="H314" s="26"/>
      <c r="I314" s="27"/>
      <c r="J314" s="25"/>
      <c r="K314" s="28"/>
      <c r="L314" s="17"/>
      <c r="M314" s="17"/>
      <c r="N314" s="9" t="str">
        <f t="shared" si="8"/>
        <v/>
      </c>
      <c r="O314" s="9" t="str">
        <f t="shared" si="9"/>
        <v/>
      </c>
      <c r="P314" s="18"/>
      <c r="Q314" s="17"/>
    </row>
    <row r="315" spans="1:17" ht="15" customHeight="1" x14ac:dyDescent="0.35">
      <c r="A315" s="29"/>
      <c r="B315" s="25"/>
      <c r="C315" s="25"/>
      <c r="D315" s="25"/>
      <c r="E315" s="25"/>
      <c r="F315" s="25"/>
      <c r="G315" s="25"/>
      <c r="H315" s="26"/>
      <c r="I315" s="27"/>
      <c r="J315" s="25"/>
      <c r="K315" s="28"/>
      <c r="L315" s="17"/>
      <c r="M315" s="17"/>
      <c r="N315" s="9" t="str">
        <f t="shared" si="8"/>
        <v/>
      </c>
      <c r="O315" s="9" t="str">
        <f t="shared" si="9"/>
        <v/>
      </c>
      <c r="P315" s="18"/>
      <c r="Q315" s="17"/>
    </row>
    <row r="316" spans="1:17" ht="15" customHeight="1" x14ac:dyDescent="0.35">
      <c r="A316" s="29"/>
      <c r="B316" s="25"/>
      <c r="C316" s="25"/>
      <c r="D316" s="25"/>
      <c r="E316" s="25"/>
      <c r="F316" s="25"/>
      <c r="G316" s="25"/>
      <c r="H316" s="26"/>
      <c r="I316" s="27"/>
      <c r="J316" s="25"/>
      <c r="K316" s="28"/>
      <c r="L316" s="17"/>
      <c r="M316" s="17"/>
      <c r="N316" s="9" t="str">
        <f t="shared" si="8"/>
        <v/>
      </c>
      <c r="O316" s="9" t="str">
        <f t="shared" si="9"/>
        <v/>
      </c>
      <c r="P316" s="18"/>
      <c r="Q316" s="17"/>
    </row>
    <row r="317" spans="1:17" ht="15" customHeight="1" x14ac:dyDescent="0.35">
      <c r="A317" s="29"/>
      <c r="B317" s="25"/>
      <c r="C317" s="25"/>
      <c r="D317" s="25"/>
      <c r="E317" s="25"/>
      <c r="F317" s="25"/>
      <c r="G317" s="25"/>
      <c r="H317" s="26"/>
      <c r="I317" s="27"/>
      <c r="J317" s="25"/>
      <c r="K317" s="28"/>
      <c r="L317" s="17"/>
      <c r="M317" s="17"/>
      <c r="N317" s="9" t="str">
        <f t="shared" si="8"/>
        <v/>
      </c>
      <c r="O317" s="9" t="str">
        <f t="shared" si="9"/>
        <v/>
      </c>
      <c r="P317" s="18"/>
      <c r="Q317" s="17"/>
    </row>
    <row r="318" spans="1:17" ht="15" customHeight="1" x14ac:dyDescent="0.35">
      <c r="A318" s="29"/>
      <c r="B318" s="25"/>
      <c r="C318" s="25"/>
      <c r="D318" s="25"/>
      <c r="E318" s="25"/>
      <c r="F318" s="25"/>
      <c r="G318" s="25"/>
      <c r="H318" s="26"/>
      <c r="I318" s="27"/>
      <c r="J318" s="25"/>
      <c r="K318" s="28"/>
      <c r="L318" s="17"/>
      <c r="M318" s="17"/>
      <c r="N318" s="9" t="str">
        <f t="shared" si="8"/>
        <v/>
      </c>
      <c r="O318" s="9" t="str">
        <f t="shared" si="9"/>
        <v/>
      </c>
      <c r="P318" s="18"/>
      <c r="Q318" s="17"/>
    </row>
    <row r="319" spans="1:17" ht="15" customHeight="1" x14ac:dyDescent="0.35">
      <c r="A319" s="29"/>
      <c r="B319" s="25"/>
      <c r="C319" s="25"/>
      <c r="D319" s="25"/>
      <c r="E319" s="25"/>
      <c r="F319" s="25"/>
      <c r="G319" s="25"/>
      <c r="H319" s="26"/>
      <c r="I319" s="27"/>
      <c r="J319" s="25"/>
      <c r="K319" s="28"/>
      <c r="L319" s="17"/>
      <c r="M319" s="17"/>
      <c r="N319" s="9" t="str">
        <f t="shared" si="8"/>
        <v/>
      </c>
      <c r="O319" s="9" t="str">
        <f t="shared" si="9"/>
        <v/>
      </c>
      <c r="P319" s="18"/>
      <c r="Q319" s="17"/>
    </row>
    <row r="320" spans="1:17" ht="15" customHeight="1" x14ac:dyDescent="0.35">
      <c r="A320" s="29"/>
      <c r="B320" s="25"/>
      <c r="C320" s="25"/>
      <c r="D320" s="25"/>
      <c r="E320" s="25"/>
      <c r="F320" s="25"/>
      <c r="G320" s="25"/>
      <c r="H320" s="26"/>
      <c r="I320" s="27"/>
      <c r="J320" s="25"/>
      <c r="K320" s="28"/>
      <c r="L320" s="17"/>
      <c r="M320" s="17"/>
      <c r="N320" s="9" t="str">
        <f t="shared" si="8"/>
        <v/>
      </c>
      <c r="O320" s="9" t="str">
        <f t="shared" si="9"/>
        <v/>
      </c>
      <c r="P320" s="18"/>
      <c r="Q320" s="17"/>
    </row>
    <row r="321" spans="1:17" ht="15" customHeight="1" x14ac:dyDescent="0.35">
      <c r="A321" s="29"/>
      <c r="B321" s="25"/>
      <c r="C321" s="25"/>
      <c r="D321" s="25"/>
      <c r="E321" s="25"/>
      <c r="F321" s="25"/>
      <c r="G321" s="25"/>
      <c r="H321" s="26"/>
      <c r="I321" s="27"/>
      <c r="J321" s="25"/>
      <c r="K321" s="28"/>
      <c r="L321" s="17"/>
      <c r="M321" s="17"/>
      <c r="N321" s="9" t="str">
        <f t="shared" si="8"/>
        <v/>
      </c>
      <c r="O321" s="9" t="str">
        <f t="shared" si="9"/>
        <v/>
      </c>
      <c r="P321" s="18"/>
      <c r="Q321" s="17"/>
    </row>
    <row r="322" spans="1:17" ht="15" customHeight="1" x14ac:dyDescent="0.35">
      <c r="A322" s="29"/>
      <c r="B322" s="25"/>
      <c r="C322" s="25"/>
      <c r="D322" s="25"/>
      <c r="E322" s="25"/>
      <c r="F322" s="25"/>
      <c r="G322" s="25"/>
      <c r="H322" s="26"/>
      <c r="I322" s="27"/>
      <c r="J322" s="25"/>
      <c r="K322" s="28"/>
      <c r="L322" s="17"/>
      <c r="M322" s="17"/>
      <c r="N322" s="9" t="str">
        <f t="shared" ref="N322:N385" si="10">IF(M322="","",IF(M322="Push",0,IF(M322="Void",0,IF(M322="W",IF(H322&gt;0,K322*H322/100,K322*100/ABS(H322)),-K322))))</f>
        <v/>
      </c>
      <c r="O322" s="9" t="str">
        <f t="shared" si="9"/>
        <v/>
      </c>
      <c r="P322" s="18"/>
      <c r="Q322" s="17"/>
    </row>
    <row r="323" spans="1:17" ht="15" customHeight="1" x14ac:dyDescent="0.35">
      <c r="A323" s="29"/>
      <c r="B323" s="25"/>
      <c r="C323" s="25"/>
      <c r="D323" s="25"/>
      <c r="E323" s="25"/>
      <c r="F323" s="25"/>
      <c r="G323" s="25"/>
      <c r="H323" s="26"/>
      <c r="I323" s="27"/>
      <c r="J323" s="25"/>
      <c r="K323" s="28"/>
      <c r="L323" s="17"/>
      <c r="M323" s="17"/>
      <c r="N323" s="9" t="str">
        <f t="shared" si="10"/>
        <v/>
      </c>
      <c r="O323" s="9" t="str">
        <f t="shared" ref="O323:O386" si="11">IF(N323="","",O322+N323)</f>
        <v/>
      </c>
      <c r="P323" s="18"/>
      <c r="Q323" s="17"/>
    </row>
    <row r="324" spans="1:17" ht="15" customHeight="1" x14ac:dyDescent="0.35">
      <c r="A324" s="29"/>
      <c r="B324" s="25"/>
      <c r="C324" s="25"/>
      <c r="D324" s="25"/>
      <c r="E324" s="25"/>
      <c r="F324" s="25"/>
      <c r="G324" s="25"/>
      <c r="H324" s="26"/>
      <c r="I324" s="27"/>
      <c r="J324" s="25"/>
      <c r="K324" s="28"/>
      <c r="L324" s="17"/>
      <c r="M324" s="17"/>
      <c r="N324" s="9" t="str">
        <f t="shared" si="10"/>
        <v/>
      </c>
      <c r="O324" s="9" t="str">
        <f t="shared" si="11"/>
        <v/>
      </c>
      <c r="P324" s="18"/>
      <c r="Q324" s="17"/>
    </row>
    <row r="325" spans="1:17" ht="15" customHeight="1" x14ac:dyDescent="0.35">
      <c r="A325" s="29"/>
      <c r="B325" s="25"/>
      <c r="C325" s="25"/>
      <c r="D325" s="25"/>
      <c r="E325" s="25"/>
      <c r="F325" s="25"/>
      <c r="G325" s="25"/>
      <c r="H325" s="26"/>
      <c r="I325" s="27"/>
      <c r="J325" s="25"/>
      <c r="K325" s="28"/>
      <c r="L325" s="17"/>
      <c r="M325" s="17"/>
      <c r="N325" s="9" t="str">
        <f t="shared" si="10"/>
        <v/>
      </c>
      <c r="O325" s="9" t="str">
        <f t="shared" si="11"/>
        <v/>
      </c>
      <c r="P325" s="18"/>
      <c r="Q325" s="17"/>
    </row>
    <row r="326" spans="1:17" ht="15" customHeight="1" x14ac:dyDescent="0.35">
      <c r="A326" s="29"/>
      <c r="B326" s="25"/>
      <c r="C326" s="25"/>
      <c r="D326" s="25"/>
      <c r="E326" s="25"/>
      <c r="F326" s="25"/>
      <c r="G326" s="25"/>
      <c r="H326" s="26"/>
      <c r="I326" s="27"/>
      <c r="J326" s="25"/>
      <c r="K326" s="28"/>
      <c r="L326" s="17"/>
      <c r="M326" s="17"/>
      <c r="N326" s="9" t="str">
        <f t="shared" si="10"/>
        <v/>
      </c>
      <c r="O326" s="9" t="str">
        <f t="shared" si="11"/>
        <v/>
      </c>
      <c r="P326" s="18"/>
      <c r="Q326" s="17"/>
    </row>
    <row r="327" spans="1:17" ht="15" customHeight="1" x14ac:dyDescent="0.35">
      <c r="A327" s="29"/>
      <c r="B327" s="25"/>
      <c r="C327" s="25"/>
      <c r="D327" s="25"/>
      <c r="E327" s="25"/>
      <c r="F327" s="25"/>
      <c r="G327" s="25"/>
      <c r="H327" s="26"/>
      <c r="I327" s="27"/>
      <c r="J327" s="25"/>
      <c r="K327" s="28"/>
      <c r="L327" s="17"/>
      <c r="M327" s="17"/>
      <c r="N327" s="9" t="str">
        <f t="shared" si="10"/>
        <v/>
      </c>
      <c r="O327" s="9" t="str">
        <f t="shared" si="11"/>
        <v/>
      </c>
      <c r="P327" s="18"/>
      <c r="Q327" s="17"/>
    </row>
    <row r="328" spans="1:17" ht="15" customHeight="1" x14ac:dyDescent="0.35">
      <c r="A328" s="29"/>
      <c r="B328" s="25"/>
      <c r="C328" s="25"/>
      <c r="D328" s="25"/>
      <c r="E328" s="25"/>
      <c r="F328" s="25"/>
      <c r="G328" s="25"/>
      <c r="H328" s="26"/>
      <c r="I328" s="27"/>
      <c r="J328" s="25"/>
      <c r="K328" s="28"/>
      <c r="L328" s="17"/>
      <c r="M328" s="17"/>
      <c r="N328" s="9" t="str">
        <f t="shared" si="10"/>
        <v/>
      </c>
      <c r="O328" s="9" t="str">
        <f t="shared" si="11"/>
        <v/>
      </c>
      <c r="P328" s="18"/>
      <c r="Q328" s="17"/>
    </row>
    <row r="329" spans="1:17" ht="15" customHeight="1" x14ac:dyDescent="0.35">
      <c r="A329" s="29"/>
      <c r="B329" s="25"/>
      <c r="C329" s="25"/>
      <c r="D329" s="25"/>
      <c r="E329" s="25"/>
      <c r="F329" s="25"/>
      <c r="G329" s="25"/>
      <c r="H329" s="26"/>
      <c r="I329" s="27"/>
      <c r="J329" s="25"/>
      <c r="K329" s="28"/>
      <c r="L329" s="17"/>
      <c r="M329" s="17"/>
      <c r="N329" s="9" t="str">
        <f t="shared" si="10"/>
        <v/>
      </c>
      <c r="O329" s="9" t="str">
        <f t="shared" si="11"/>
        <v/>
      </c>
      <c r="P329" s="18"/>
      <c r="Q329" s="17"/>
    </row>
    <row r="330" spans="1:17" ht="15" customHeight="1" x14ac:dyDescent="0.35">
      <c r="A330" s="29"/>
      <c r="B330" s="25"/>
      <c r="C330" s="25"/>
      <c r="D330" s="25"/>
      <c r="E330" s="25"/>
      <c r="F330" s="25"/>
      <c r="G330" s="25"/>
      <c r="H330" s="26"/>
      <c r="I330" s="27"/>
      <c r="J330" s="25"/>
      <c r="K330" s="28"/>
      <c r="L330" s="17"/>
      <c r="M330" s="17"/>
      <c r="N330" s="9" t="str">
        <f t="shared" si="10"/>
        <v/>
      </c>
      <c r="O330" s="9" t="str">
        <f t="shared" si="11"/>
        <v/>
      </c>
      <c r="P330" s="18"/>
      <c r="Q330" s="17"/>
    </row>
    <row r="331" spans="1:17" ht="15" customHeight="1" x14ac:dyDescent="0.35">
      <c r="A331" s="29"/>
      <c r="B331" s="25"/>
      <c r="C331" s="25"/>
      <c r="D331" s="25"/>
      <c r="E331" s="25"/>
      <c r="F331" s="25"/>
      <c r="G331" s="25"/>
      <c r="H331" s="26"/>
      <c r="I331" s="27"/>
      <c r="J331" s="25"/>
      <c r="K331" s="28"/>
      <c r="L331" s="17"/>
      <c r="M331" s="17"/>
      <c r="N331" s="9" t="str">
        <f t="shared" si="10"/>
        <v/>
      </c>
      <c r="O331" s="9" t="str">
        <f t="shared" si="11"/>
        <v/>
      </c>
      <c r="P331" s="18"/>
      <c r="Q331" s="17"/>
    </row>
    <row r="332" spans="1:17" ht="15" customHeight="1" x14ac:dyDescent="0.35">
      <c r="A332" s="29"/>
      <c r="B332" s="25"/>
      <c r="C332" s="25"/>
      <c r="D332" s="25"/>
      <c r="E332" s="25"/>
      <c r="F332" s="25"/>
      <c r="G332" s="25"/>
      <c r="H332" s="26"/>
      <c r="I332" s="27"/>
      <c r="J332" s="25"/>
      <c r="K332" s="28"/>
      <c r="L332" s="17"/>
      <c r="M332" s="17"/>
      <c r="N332" s="9" t="str">
        <f t="shared" si="10"/>
        <v/>
      </c>
      <c r="O332" s="9" t="str">
        <f t="shared" si="11"/>
        <v/>
      </c>
      <c r="P332" s="18"/>
      <c r="Q332" s="17"/>
    </row>
    <row r="333" spans="1:17" ht="15" customHeight="1" x14ac:dyDescent="0.35">
      <c r="A333" s="29"/>
      <c r="B333" s="25"/>
      <c r="C333" s="25"/>
      <c r="D333" s="25"/>
      <c r="E333" s="25"/>
      <c r="F333" s="25"/>
      <c r="G333" s="25"/>
      <c r="H333" s="26"/>
      <c r="I333" s="27"/>
      <c r="J333" s="25"/>
      <c r="K333" s="28"/>
      <c r="L333" s="17"/>
      <c r="M333" s="17"/>
      <c r="N333" s="9" t="str">
        <f t="shared" si="10"/>
        <v/>
      </c>
      <c r="O333" s="9" t="str">
        <f t="shared" si="11"/>
        <v/>
      </c>
      <c r="P333" s="18"/>
      <c r="Q333" s="17"/>
    </row>
    <row r="334" spans="1:17" ht="15" customHeight="1" x14ac:dyDescent="0.35">
      <c r="A334" s="29"/>
      <c r="B334" s="25"/>
      <c r="C334" s="25"/>
      <c r="D334" s="25"/>
      <c r="E334" s="25"/>
      <c r="F334" s="25"/>
      <c r="G334" s="25"/>
      <c r="H334" s="26"/>
      <c r="I334" s="27"/>
      <c r="J334" s="25"/>
      <c r="K334" s="28"/>
      <c r="L334" s="17"/>
      <c r="M334" s="17"/>
      <c r="N334" s="9" t="str">
        <f t="shared" si="10"/>
        <v/>
      </c>
      <c r="O334" s="9" t="str">
        <f t="shared" si="11"/>
        <v/>
      </c>
      <c r="P334" s="18"/>
      <c r="Q334" s="17"/>
    </row>
    <row r="335" spans="1:17" ht="15" customHeight="1" x14ac:dyDescent="0.35">
      <c r="A335" s="29"/>
      <c r="B335" s="25"/>
      <c r="C335" s="25"/>
      <c r="D335" s="25"/>
      <c r="E335" s="25"/>
      <c r="F335" s="25"/>
      <c r="G335" s="25"/>
      <c r="H335" s="26"/>
      <c r="I335" s="27"/>
      <c r="J335" s="25"/>
      <c r="K335" s="28"/>
      <c r="L335" s="17"/>
      <c r="M335" s="17"/>
      <c r="N335" s="9" t="str">
        <f t="shared" si="10"/>
        <v/>
      </c>
      <c r="O335" s="9" t="str">
        <f t="shared" si="11"/>
        <v/>
      </c>
      <c r="P335" s="18"/>
      <c r="Q335" s="17"/>
    </row>
    <row r="336" spans="1:17" ht="15" customHeight="1" x14ac:dyDescent="0.35">
      <c r="A336" s="29"/>
      <c r="B336" s="25"/>
      <c r="C336" s="25"/>
      <c r="D336" s="25"/>
      <c r="E336" s="25"/>
      <c r="F336" s="25"/>
      <c r="G336" s="25"/>
      <c r="H336" s="26"/>
      <c r="I336" s="27"/>
      <c r="J336" s="25"/>
      <c r="K336" s="28"/>
      <c r="L336" s="17"/>
      <c r="M336" s="17"/>
      <c r="N336" s="9" t="str">
        <f t="shared" si="10"/>
        <v/>
      </c>
      <c r="O336" s="9" t="str">
        <f t="shared" si="11"/>
        <v/>
      </c>
      <c r="P336" s="18"/>
      <c r="Q336" s="17"/>
    </row>
    <row r="337" spans="1:17" ht="15" customHeight="1" x14ac:dyDescent="0.35">
      <c r="A337" s="29"/>
      <c r="B337" s="25"/>
      <c r="C337" s="25"/>
      <c r="D337" s="25"/>
      <c r="E337" s="25"/>
      <c r="F337" s="25"/>
      <c r="G337" s="25"/>
      <c r="H337" s="26"/>
      <c r="I337" s="27"/>
      <c r="J337" s="25"/>
      <c r="K337" s="28"/>
      <c r="L337" s="17"/>
      <c r="M337" s="17"/>
      <c r="N337" s="9" t="str">
        <f t="shared" si="10"/>
        <v/>
      </c>
      <c r="O337" s="9" t="str">
        <f t="shared" si="11"/>
        <v/>
      </c>
      <c r="P337" s="18"/>
      <c r="Q337" s="17"/>
    </row>
    <row r="338" spans="1:17" ht="15" customHeight="1" x14ac:dyDescent="0.35">
      <c r="A338" s="29"/>
      <c r="B338" s="25"/>
      <c r="C338" s="25"/>
      <c r="D338" s="25"/>
      <c r="E338" s="25"/>
      <c r="F338" s="25"/>
      <c r="G338" s="25"/>
      <c r="H338" s="26"/>
      <c r="I338" s="27"/>
      <c r="J338" s="25"/>
      <c r="K338" s="28"/>
      <c r="L338" s="17"/>
      <c r="M338" s="17"/>
      <c r="N338" s="9" t="str">
        <f t="shared" si="10"/>
        <v/>
      </c>
      <c r="O338" s="9" t="str">
        <f t="shared" si="11"/>
        <v/>
      </c>
      <c r="P338" s="18"/>
      <c r="Q338" s="17"/>
    </row>
    <row r="339" spans="1:17" ht="15" customHeight="1" x14ac:dyDescent="0.35">
      <c r="A339" s="29"/>
      <c r="B339" s="25"/>
      <c r="C339" s="25"/>
      <c r="D339" s="25"/>
      <c r="E339" s="25"/>
      <c r="F339" s="25"/>
      <c r="G339" s="25"/>
      <c r="H339" s="26"/>
      <c r="I339" s="27"/>
      <c r="J339" s="25"/>
      <c r="K339" s="28"/>
      <c r="L339" s="17"/>
      <c r="M339" s="17"/>
      <c r="N339" s="9" t="str">
        <f t="shared" si="10"/>
        <v/>
      </c>
      <c r="O339" s="9" t="str">
        <f t="shared" si="11"/>
        <v/>
      </c>
      <c r="P339" s="18"/>
      <c r="Q339" s="17"/>
    </row>
    <row r="340" spans="1:17" ht="15" customHeight="1" x14ac:dyDescent="0.35">
      <c r="A340" s="29"/>
      <c r="B340" s="25"/>
      <c r="C340" s="25"/>
      <c r="D340" s="25"/>
      <c r="E340" s="25"/>
      <c r="F340" s="25"/>
      <c r="G340" s="25"/>
      <c r="H340" s="26"/>
      <c r="I340" s="27"/>
      <c r="J340" s="25"/>
      <c r="K340" s="28"/>
      <c r="L340" s="17"/>
      <c r="M340" s="17"/>
      <c r="N340" s="9" t="str">
        <f t="shared" si="10"/>
        <v/>
      </c>
      <c r="O340" s="9" t="str">
        <f t="shared" si="11"/>
        <v/>
      </c>
      <c r="P340" s="18"/>
      <c r="Q340" s="17"/>
    </row>
    <row r="341" spans="1:17" ht="15" customHeight="1" x14ac:dyDescent="0.35">
      <c r="A341" s="29"/>
      <c r="B341" s="25"/>
      <c r="C341" s="25"/>
      <c r="D341" s="25"/>
      <c r="E341" s="25"/>
      <c r="F341" s="25"/>
      <c r="G341" s="25"/>
      <c r="H341" s="26"/>
      <c r="I341" s="27"/>
      <c r="J341" s="25"/>
      <c r="K341" s="28"/>
      <c r="L341" s="17"/>
      <c r="M341" s="17"/>
      <c r="N341" s="9" t="str">
        <f t="shared" si="10"/>
        <v/>
      </c>
      <c r="O341" s="9" t="str">
        <f t="shared" si="11"/>
        <v/>
      </c>
      <c r="P341" s="18"/>
      <c r="Q341" s="17"/>
    </row>
    <row r="342" spans="1:17" ht="15" customHeight="1" x14ac:dyDescent="0.35">
      <c r="A342" s="29"/>
      <c r="B342" s="25"/>
      <c r="C342" s="25"/>
      <c r="D342" s="25"/>
      <c r="E342" s="25"/>
      <c r="F342" s="25"/>
      <c r="G342" s="25"/>
      <c r="H342" s="26"/>
      <c r="I342" s="27"/>
      <c r="J342" s="25"/>
      <c r="K342" s="28"/>
      <c r="L342" s="17"/>
      <c r="M342" s="17"/>
      <c r="N342" s="9" t="str">
        <f t="shared" si="10"/>
        <v/>
      </c>
      <c r="O342" s="9" t="str">
        <f t="shared" si="11"/>
        <v/>
      </c>
      <c r="P342" s="18"/>
      <c r="Q342" s="17"/>
    </row>
    <row r="343" spans="1:17" ht="15" customHeight="1" x14ac:dyDescent="0.35">
      <c r="A343" s="29"/>
      <c r="B343" s="25"/>
      <c r="C343" s="25"/>
      <c r="D343" s="25"/>
      <c r="E343" s="25"/>
      <c r="F343" s="25"/>
      <c r="G343" s="25"/>
      <c r="H343" s="26"/>
      <c r="I343" s="27"/>
      <c r="J343" s="25"/>
      <c r="K343" s="28"/>
      <c r="L343" s="17"/>
      <c r="M343" s="17"/>
      <c r="N343" s="9" t="str">
        <f t="shared" si="10"/>
        <v/>
      </c>
      <c r="O343" s="9" t="str">
        <f t="shared" si="11"/>
        <v/>
      </c>
      <c r="P343" s="18"/>
      <c r="Q343" s="17"/>
    </row>
    <row r="344" spans="1:17" ht="15" customHeight="1" x14ac:dyDescent="0.35">
      <c r="A344" s="29"/>
      <c r="B344" s="25"/>
      <c r="C344" s="25"/>
      <c r="D344" s="25"/>
      <c r="E344" s="25"/>
      <c r="F344" s="25"/>
      <c r="G344" s="25"/>
      <c r="H344" s="26"/>
      <c r="I344" s="27"/>
      <c r="J344" s="25"/>
      <c r="K344" s="28"/>
      <c r="L344" s="17"/>
      <c r="M344" s="17"/>
      <c r="N344" s="9" t="str">
        <f t="shared" si="10"/>
        <v/>
      </c>
      <c r="O344" s="9" t="str">
        <f t="shared" si="11"/>
        <v/>
      </c>
      <c r="P344" s="18"/>
      <c r="Q344" s="17"/>
    </row>
    <row r="345" spans="1:17" ht="15" customHeight="1" x14ac:dyDescent="0.35">
      <c r="A345" s="29"/>
      <c r="B345" s="25"/>
      <c r="C345" s="25"/>
      <c r="D345" s="25"/>
      <c r="E345" s="25"/>
      <c r="F345" s="25"/>
      <c r="G345" s="25"/>
      <c r="H345" s="26"/>
      <c r="I345" s="27"/>
      <c r="J345" s="25"/>
      <c r="K345" s="28"/>
      <c r="L345" s="17"/>
      <c r="M345" s="17"/>
      <c r="N345" s="9" t="str">
        <f t="shared" si="10"/>
        <v/>
      </c>
      <c r="O345" s="9" t="str">
        <f t="shared" si="11"/>
        <v/>
      </c>
      <c r="P345" s="18"/>
      <c r="Q345" s="17"/>
    </row>
    <row r="346" spans="1:17" ht="15" customHeight="1" x14ac:dyDescent="0.35">
      <c r="A346" s="29"/>
      <c r="B346" s="25"/>
      <c r="C346" s="25"/>
      <c r="D346" s="25"/>
      <c r="E346" s="25"/>
      <c r="F346" s="25"/>
      <c r="G346" s="25"/>
      <c r="H346" s="26"/>
      <c r="I346" s="27"/>
      <c r="J346" s="25"/>
      <c r="K346" s="28"/>
      <c r="L346" s="17"/>
      <c r="M346" s="17"/>
      <c r="N346" s="9" t="str">
        <f t="shared" si="10"/>
        <v/>
      </c>
      <c r="O346" s="9" t="str">
        <f t="shared" si="11"/>
        <v/>
      </c>
      <c r="P346" s="18"/>
      <c r="Q346" s="17"/>
    </row>
    <row r="347" spans="1:17" ht="15" customHeight="1" x14ac:dyDescent="0.35">
      <c r="A347" s="29"/>
      <c r="B347" s="25"/>
      <c r="C347" s="25"/>
      <c r="D347" s="25"/>
      <c r="E347" s="25"/>
      <c r="F347" s="25"/>
      <c r="G347" s="25"/>
      <c r="H347" s="26"/>
      <c r="I347" s="27"/>
      <c r="J347" s="25"/>
      <c r="K347" s="28"/>
      <c r="L347" s="17"/>
      <c r="M347" s="17"/>
      <c r="N347" s="9" t="str">
        <f t="shared" si="10"/>
        <v/>
      </c>
      <c r="O347" s="9" t="str">
        <f t="shared" si="11"/>
        <v/>
      </c>
      <c r="P347" s="18"/>
      <c r="Q347" s="17"/>
    </row>
    <row r="348" spans="1:17" ht="15" customHeight="1" x14ac:dyDescent="0.35">
      <c r="A348" s="29"/>
      <c r="B348" s="25"/>
      <c r="C348" s="25"/>
      <c r="D348" s="25"/>
      <c r="E348" s="25"/>
      <c r="F348" s="25"/>
      <c r="G348" s="25"/>
      <c r="H348" s="26"/>
      <c r="I348" s="27"/>
      <c r="J348" s="25"/>
      <c r="K348" s="28"/>
      <c r="L348" s="17"/>
      <c r="M348" s="17"/>
      <c r="N348" s="9" t="str">
        <f t="shared" si="10"/>
        <v/>
      </c>
      <c r="O348" s="9" t="str">
        <f t="shared" si="11"/>
        <v/>
      </c>
      <c r="P348" s="18"/>
      <c r="Q348" s="17"/>
    </row>
    <row r="349" spans="1:17" ht="15" customHeight="1" x14ac:dyDescent="0.35">
      <c r="A349" s="29"/>
      <c r="B349" s="25"/>
      <c r="C349" s="25"/>
      <c r="D349" s="25"/>
      <c r="E349" s="25"/>
      <c r="F349" s="25"/>
      <c r="G349" s="25"/>
      <c r="H349" s="26"/>
      <c r="I349" s="27"/>
      <c r="J349" s="25"/>
      <c r="K349" s="28"/>
      <c r="L349" s="17"/>
      <c r="M349" s="17"/>
      <c r="N349" s="9" t="str">
        <f t="shared" si="10"/>
        <v/>
      </c>
      <c r="O349" s="9" t="str">
        <f t="shared" si="11"/>
        <v/>
      </c>
      <c r="P349" s="18"/>
      <c r="Q349" s="17"/>
    </row>
    <row r="350" spans="1:17" ht="15" customHeight="1" x14ac:dyDescent="0.35">
      <c r="A350" s="29"/>
      <c r="B350" s="25"/>
      <c r="C350" s="25"/>
      <c r="D350" s="25"/>
      <c r="E350" s="25"/>
      <c r="F350" s="25"/>
      <c r="G350" s="25"/>
      <c r="H350" s="26"/>
      <c r="I350" s="27"/>
      <c r="J350" s="25"/>
      <c r="K350" s="28"/>
      <c r="L350" s="17"/>
      <c r="M350" s="17"/>
      <c r="N350" s="9" t="str">
        <f t="shared" si="10"/>
        <v/>
      </c>
      <c r="O350" s="9" t="str">
        <f t="shared" si="11"/>
        <v/>
      </c>
      <c r="P350" s="18"/>
      <c r="Q350" s="17"/>
    </row>
    <row r="351" spans="1:17" ht="15" customHeight="1" x14ac:dyDescent="0.35">
      <c r="A351" s="29"/>
      <c r="B351" s="25"/>
      <c r="C351" s="25"/>
      <c r="D351" s="25"/>
      <c r="E351" s="25"/>
      <c r="F351" s="25"/>
      <c r="G351" s="25"/>
      <c r="H351" s="26"/>
      <c r="I351" s="27"/>
      <c r="J351" s="25"/>
      <c r="K351" s="28"/>
      <c r="L351" s="17"/>
      <c r="M351" s="17"/>
      <c r="N351" s="9" t="str">
        <f t="shared" si="10"/>
        <v/>
      </c>
      <c r="O351" s="9" t="str">
        <f t="shared" si="11"/>
        <v/>
      </c>
      <c r="P351" s="18"/>
      <c r="Q351" s="17"/>
    </row>
    <row r="352" spans="1:17" ht="15" customHeight="1" x14ac:dyDescent="0.35">
      <c r="A352" s="29"/>
      <c r="B352" s="25"/>
      <c r="C352" s="25"/>
      <c r="D352" s="25"/>
      <c r="E352" s="25"/>
      <c r="F352" s="25"/>
      <c r="G352" s="25"/>
      <c r="H352" s="26"/>
      <c r="I352" s="27"/>
      <c r="J352" s="25"/>
      <c r="K352" s="28"/>
      <c r="L352" s="17"/>
      <c r="M352" s="17"/>
      <c r="N352" s="9" t="str">
        <f t="shared" si="10"/>
        <v/>
      </c>
      <c r="O352" s="9" t="str">
        <f t="shared" si="11"/>
        <v/>
      </c>
      <c r="P352" s="18"/>
      <c r="Q352" s="17"/>
    </row>
    <row r="353" spans="1:17" ht="15" customHeight="1" x14ac:dyDescent="0.35">
      <c r="A353" s="29"/>
      <c r="B353" s="25"/>
      <c r="C353" s="25"/>
      <c r="D353" s="25"/>
      <c r="E353" s="25"/>
      <c r="F353" s="25"/>
      <c r="G353" s="25"/>
      <c r="H353" s="26"/>
      <c r="I353" s="27"/>
      <c r="J353" s="25"/>
      <c r="K353" s="28"/>
      <c r="L353" s="17"/>
      <c r="M353" s="17"/>
      <c r="N353" s="9" t="str">
        <f t="shared" si="10"/>
        <v/>
      </c>
      <c r="O353" s="9" t="str">
        <f t="shared" si="11"/>
        <v/>
      </c>
      <c r="P353" s="18"/>
      <c r="Q353" s="17"/>
    </row>
    <row r="354" spans="1:17" ht="15" customHeight="1" x14ac:dyDescent="0.35">
      <c r="A354" s="29"/>
      <c r="B354" s="25"/>
      <c r="C354" s="25"/>
      <c r="D354" s="25"/>
      <c r="E354" s="25"/>
      <c r="F354" s="25"/>
      <c r="G354" s="25"/>
      <c r="H354" s="26"/>
      <c r="I354" s="27"/>
      <c r="J354" s="25"/>
      <c r="K354" s="28"/>
      <c r="L354" s="17"/>
      <c r="M354" s="17"/>
      <c r="N354" s="9" t="str">
        <f t="shared" si="10"/>
        <v/>
      </c>
      <c r="O354" s="9" t="str">
        <f t="shared" si="11"/>
        <v/>
      </c>
      <c r="P354" s="18"/>
      <c r="Q354" s="17"/>
    </row>
    <row r="355" spans="1:17" ht="15" customHeight="1" x14ac:dyDescent="0.35">
      <c r="A355" s="29"/>
      <c r="B355" s="25"/>
      <c r="C355" s="25"/>
      <c r="D355" s="25"/>
      <c r="E355" s="25"/>
      <c r="F355" s="25"/>
      <c r="G355" s="25"/>
      <c r="H355" s="26"/>
      <c r="I355" s="27"/>
      <c r="J355" s="25"/>
      <c r="K355" s="28"/>
      <c r="L355" s="17"/>
      <c r="M355" s="17"/>
      <c r="N355" s="9" t="str">
        <f t="shared" si="10"/>
        <v/>
      </c>
      <c r="O355" s="9" t="str">
        <f t="shared" si="11"/>
        <v/>
      </c>
      <c r="P355" s="18"/>
      <c r="Q355" s="17"/>
    </row>
    <row r="356" spans="1:17" ht="15" customHeight="1" x14ac:dyDescent="0.35">
      <c r="A356" s="29"/>
      <c r="B356" s="25"/>
      <c r="C356" s="25"/>
      <c r="D356" s="25"/>
      <c r="E356" s="25"/>
      <c r="F356" s="25"/>
      <c r="G356" s="25"/>
      <c r="H356" s="26"/>
      <c r="I356" s="27"/>
      <c r="J356" s="25"/>
      <c r="K356" s="28"/>
      <c r="L356" s="17"/>
      <c r="M356" s="17"/>
      <c r="N356" s="9" t="str">
        <f t="shared" si="10"/>
        <v/>
      </c>
      <c r="O356" s="9" t="str">
        <f t="shared" si="11"/>
        <v/>
      </c>
      <c r="P356" s="18"/>
      <c r="Q356" s="17"/>
    </row>
    <row r="357" spans="1:17" ht="15" customHeight="1" x14ac:dyDescent="0.35">
      <c r="A357" s="29"/>
      <c r="B357" s="25"/>
      <c r="C357" s="25"/>
      <c r="D357" s="25"/>
      <c r="E357" s="25"/>
      <c r="F357" s="25"/>
      <c r="G357" s="25"/>
      <c r="H357" s="26"/>
      <c r="I357" s="27"/>
      <c r="J357" s="25"/>
      <c r="K357" s="28"/>
      <c r="L357" s="17"/>
      <c r="M357" s="17"/>
      <c r="N357" s="9" t="str">
        <f t="shared" si="10"/>
        <v/>
      </c>
      <c r="O357" s="9" t="str">
        <f t="shared" si="11"/>
        <v/>
      </c>
      <c r="P357" s="18"/>
      <c r="Q357" s="17"/>
    </row>
    <row r="358" spans="1:17" ht="15" customHeight="1" x14ac:dyDescent="0.35">
      <c r="A358" s="29"/>
      <c r="B358" s="25"/>
      <c r="C358" s="25"/>
      <c r="D358" s="25"/>
      <c r="E358" s="25"/>
      <c r="F358" s="25"/>
      <c r="G358" s="25"/>
      <c r="H358" s="26"/>
      <c r="I358" s="27"/>
      <c r="J358" s="25"/>
      <c r="K358" s="28"/>
      <c r="L358" s="17"/>
      <c r="M358" s="17"/>
      <c r="N358" s="9" t="str">
        <f t="shared" si="10"/>
        <v/>
      </c>
      <c r="O358" s="9" t="str">
        <f t="shared" si="11"/>
        <v/>
      </c>
      <c r="P358" s="18"/>
      <c r="Q358" s="17"/>
    </row>
    <row r="359" spans="1:17" ht="15" customHeight="1" x14ac:dyDescent="0.35">
      <c r="A359" s="29"/>
      <c r="B359" s="25"/>
      <c r="C359" s="25"/>
      <c r="D359" s="25"/>
      <c r="E359" s="25"/>
      <c r="F359" s="25"/>
      <c r="G359" s="25"/>
      <c r="H359" s="26"/>
      <c r="I359" s="27"/>
      <c r="J359" s="25"/>
      <c r="K359" s="28"/>
      <c r="L359" s="17"/>
      <c r="M359" s="17"/>
      <c r="N359" s="9" t="str">
        <f t="shared" si="10"/>
        <v/>
      </c>
      <c r="O359" s="9" t="str">
        <f t="shared" si="11"/>
        <v/>
      </c>
      <c r="P359" s="18"/>
      <c r="Q359" s="17"/>
    </row>
    <row r="360" spans="1:17" ht="15" customHeight="1" x14ac:dyDescent="0.35">
      <c r="A360" s="29"/>
      <c r="B360" s="25"/>
      <c r="C360" s="25"/>
      <c r="D360" s="25"/>
      <c r="E360" s="25"/>
      <c r="F360" s="25"/>
      <c r="G360" s="25"/>
      <c r="H360" s="26"/>
      <c r="I360" s="27"/>
      <c r="J360" s="25"/>
      <c r="K360" s="28"/>
      <c r="L360" s="17"/>
      <c r="M360" s="17"/>
      <c r="N360" s="9" t="str">
        <f t="shared" si="10"/>
        <v/>
      </c>
      <c r="O360" s="9" t="str">
        <f t="shared" si="11"/>
        <v/>
      </c>
      <c r="P360" s="18"/>
      <c r="Q360" s="17"/>
    </row>
    <row r="361" spans="1:17" ht="15" customHeight="1" x14ac:dyDescent="0.35">
      <c r="A361" s="29"/>
      <c r="B361" s="25"/>
      <c r="C361" s="25"/>
      <c r="D361" s="25"/>
      <c r="E361" s="25"/>
      <c r="F361" s="25"/>
      <c r="G361" s="25"/>
      <c r="H361" s="26"/>
      <c r="I361" s="27"/>
      <c r="J361" s="25"/>
      <c r="K361" s="28"/>
      <c r="L361" s="17"/>
      <c r="M361" s="17"/>
      <c r="N361" s="9" t="str">
        <f t="shared" si="10"/>
        <v/>
      </c>
      <c r="O361" s="9" t="str">
        <f t="shared" si="11"/>
        <v/>
      </c>
      <c r="P361" s="18"/>
      <c r="Q361" s="17"/>
    </row>
    <row r="362" spans="1:17" ht="15" customHeight="1" x14ac:dyDescent="0.35">
      <c r="A362" s="29"/>
      <c r="B362" s="25"/>
      <c r="C362" s="25"/>
      <c r="D362" s="25"/>
      <c r="E362" s="25"/>
      <c r="F362" s="25"/>
      <c r="G362" s="25"/>
      <c r="H362" s="26"/>
      <c r="I362" s="27"/>
      <c r="J362" s="25"/>
      <c r="K362" s="28"/>
      <c r="L362" s="17"/>
      <c r="M362" s="17"/>
      <c r="N362" s="9" t="str">
        <f t="shared" si="10"/>
        <v/>
      </c>
      <c r="O362" s="9" t="str">
        <f t="shared" si="11"/>
        <v/>
      </c>
      <c r="P362" s="18"/>
      <c r="Q362" s="17"/>
    </row>
    <row r="363" spans="1:17" ht="15" customHeight="1" x14ac:dyDescent="0.35">
      <c r="A363" s="29"/>
      <c r="B363" s="25"/>
      <c r="C363" s="25"/>
      <c r="D363" s="25"/>
      <c r="E363" s="25"/>
      <c r="F363" s="25"/>
      <c r="G363" s="25"/>
      <c r="H363" s="26"/>
      <c r="I363" s="27"/>
      <c r="J363" s="25"/>
      <c r="K363" s="28"/>
      <c r="L363" s="17"/>
      <c r="M363" s="17"/>
      <c r="N363" s="9" t="str">
        <f t="shared" si="10"/>
        <v/>
      </c>
      <c r="O363" s="9" t="str">
        <f t="shared" si="11"/>
        <v/>
      </c>
      <c r="P363" s="18"/>
      <c r="Q363" s="17"/>
    </row>
    <row r="364" spans="1:17" ht="15" customHeight="1" x14ac:dyDescent="0.35">
      <c r="A364" s="29"/>
      <c r="B364" s="25"/>
      <c r="C364" s="25"/>
      <c r="D364" s="25"/>
      <c r="E364" s="25"/>
      <c r="F364" s="25"/>
      <c r="G364" s="25"/>
      <c r="H364" s="26"/>
      <c r="I364" s="27"/>
      <c r="J364" s="25"/>
      <c r="K364" s="28"/>
      <c r="L364" s="17"/>
      <c r="M364" s="17"/>
      <c r="N364" s="9" t="str">
        <f t="shared" si="10"/>
        <v/>
      </c>
      <c r="O364" s="9" t="str">
        <f t="shared" si="11"/>
        <v/>
      </c>
      <c r="P364" s="18"/>
      <c r="Q364" s="17"/>
    </row>
    <row r="365" spans="1:17" ht="15" customHeight="1" x14ac:dyDescent="0.35">
      <c r="A365" s="29"/>
      <c r="B365" s="25"/>
      <c r="C365" s="25"/>
      <c r="D365" s="25"/>
      <c r="E365" s="25"/>
      <c r="F365" s="25"/>
      <c r="G365" s="25"/>
      <c r="H365" s="26"/>
      <c r="I365" s="27"/>
      <c r="J365" s="25"/>
      <c r="K365" s="28"/>
      <c r="L365" s="17"/>
      <c r="M365" s="17"/>
      <c r="N365" s="9" t="str">
        <f t="shared" si="10"/>
        <v/>
      </c>
      <c r="O365" s="9" t="str">
        <f t="shared" si="11"/>
        <v/>
      </c>
      <c r="P365" s="18"/>
      <c r="Q365" s="17"/>
    </row>
    <row r="366" spans="1:17" ht="15" customHeight="1" x14ac:dyDescent="0.35">
      <c r="A366" s="29"/>
      <c r="B366" s="25"/>
      <c r="C366" s="25"/>
      <c r="D366" s="25"/>
      <c r="E366" s="25"/>
      <c r="F366" s="25"/>
      <c r="G366" s="25"/>
      <c r="H366" s="26"/>
      <c r="I366" s="27"/>
      <c r="J366" s="25"/>
      <c r="K366" s="28"/>
      <c r="L366" s="17"/>
      <c r="M366" s="17"/>
      <c r="N366" s="9" t="str">
        <f t="shared" si="10"/>
        <v/>
      </c>
      <c r="O366" s="9" t="str">
        <f t="shared" si="11"/>
        <v/>
      </c>
      <c r="P366" s="18"/>
      <c r="Q366" s="17"/>
    </row>
    <row r="367" spans="1:17" ht="15" customHeight="1" x14ac:dyDescent="0.35">
      <c r="A367" s="29"/>
      <c r="B367" s="25"/>
      <c r="C367" s="25"/>
      <c r="D367" s="25"/>
      <c r="E367" s="25"/>
      <c r="F367" s="25"/>
      <c r="G367" s="25"/>
      <c r="H367" s="26"/>
      <c r="I367" s="27"/>
      <c r="J367" s="25"/>
      <c r="K367" s="28"/>
      <c r="L367" s="17"/>
      <c r="M367" s="17"/>
      <c r="N367" s="9" t="str">
        <f t="shared" si="10"/>
        <v/>
      </c>
      <c r="O367" s="9" t="str">
        <f t="shared" si="11"/>
        <v/>
      </c>
      <c r="P367" s="18"/>
      <c r="Q367" s="17"/>
    </row>
    <row r="368" spans="1:17" ht="15" customHeight="1" x14ac:dyDescent="0.35">
      <c r="A368" s="29"/>
      <c r="B368" s="25"/>
      <c r="C368" s="25"/>
      <c r="D368" s="25"/>
      <c r="E368" s="25"/>
      <c r="F368" s="25"/>
      <c r="G368" s="25"/>
      <c r="H368" s="26"/>
      <c r="I368" s="27"/>
      <c r="J368" s="25"/>
      <c r="K368" s="28"/>
      <c r="L368" s="17"/>
      <c r="M368" s="17"/>
      <c r="N368" s="9" t="str">
        <f t="shared" si="10"/>
        <v/>
      </c>
      <c r="O368" s="9" t="str">
        <f t="shared" si="11"/>
        <v/>
      </c>
      <c r="P368" s="18"/>
      <c r="Q368" s="17"/>
    </row>
    <row r="369" spans="1:17" ht="15" customHeight="1" x14ac:dyDescent="0.35">
      <c r="A369" s="29"/>
      <c r="B369" s="25"/>
      <c r="C369" s="25"/>
      <c r="D369" s="25"/>
      <c r="E369" s="25"/>
      <c r="F369" s="25"/>
      <c r="G369" s="25"/>
      <c r="H369" s="26"/>
      <c r="I369" s="27"/>
      <c r="J369" s="25"/>
      <c r="K369" s="28"/>
      <c r="L369" s="17"/>
      <c r="M369" s="17"/>
      <c r="N369" s="9" t="str">
        <f t="shared" si="10"/>
        <v/>
      </c>
      <c r="O369" s="9" t="str">
        <f t="shared" si="11"/>
        <v/>
      </c>
      <c r="P369" s="18"/>
      <c r="Q369" s="17"/>
    </row>
    <row r="370" spans="1:17" ht="15" customHeight="1" x14ac:dyDescent="0.35">
      <c r="A370" s="29"/>
      <c r="B370" s="25"/>
      <c r="C370" s="25"/>
      <c r="D370" s="25"/>
      <c r="E370" s="25"/>
      <c r="F370" s="25"/>
      <c r="G370" s="25"/>
      <c r="H370" s="26"/>
      <c r="I370" s="27"/>
      <c r="J370" s="25"/>
      <c r="K370" s="28"/>
      <c r="L370" s="17"/>
      <c r="M370" s="17"/>
      <c r="N370" s="9" t="str">
        <f t="shared" si="10"/>
        <v/>
      </c>
      <c r="O370" s="9" t="str">
        <f t="shared" si="11"/>
        <v/>
      </c>
      <c r="P370" s="18"/>
      <c r="Q370" s="17"/>
    </row>
    <row r="371" spans="1:17" ht="15" customHeight="1" x14ac:dyDescent="0.35">
      <c r="A371" s="29"/>
      <c r="B371" s="25"/>
      <c r="C371" s="25"/>
      <c r="D371" s="25"/>
      <c r="E371" s="25"/>
      <c r="F371" s="25"/>
      <c r="G371" s="25"/>
      <c r="H371" s="26"/>
      <c r="I371" s="27"/>
      <c r="J371" s="25"/>
      <c r="K371" s="28"/>
      <c r="L371" s="17"/>
      <c r="M371" s="17"/>
      <c r="N371" s="9" t="str">
        <f t="shared" si="10"/>
        <v/>
      </c>
      <c r="O371" s="9" t="str">
        <f t="shared" si="11"/>
        <v/>
      </c>
      <c r="P371" s="18"/>
      <c r="Q371" s="17"/>
    </row>
    <row r="372" spans="1:17" ht="15" customHeight="1" x14ac:dyDescent="0.35">
      <c r="A372" s="29"/>
      <c r="B372" s="25"/>
      <c r="C372" s="25"/>
      <c r="D372" s="25"/>
      <c r="E372" s="25"/>
      <c r="F372" s="25"/>
      <c r="G372" s="25"/>
      <c r="H372" s="26"/>
      <c r="I372" s="27"/>
      <c r="J372" s="25"/>
      <c r="K372" s="28"/>
      <c r="L372" s="17"/>
      <c r="M372" s="17"/>
      <c r="N372" s="9" t="str">
        <f t="shared" si="10"/>
        <v/>
      </c>
      <c r="O372" s="9" t="str">
        <f t="shared" si="11"/>
        <v/>
      </c>
      <c r="P372" s="18"/>
      <c r="Q372" s="17"/>
    </row>
    <row r="373" spans="1:17" ht="15" customHeight="1" x14ac:dyDescent="0.35">
      <c r="A373" s="29"/>
      <c r="B373" s="25"/>
      <c r="C373" s="25"/>
      <c r="D373" s="25"/>
      <c r="E373" s="25"/>
      <c r="F373" s="25"/>
      <c r="G373" s="25"/>
      <c r="H373" s="26"/>
      <c r="I373" s="27"/>
      <c r="J373" s="25"/>
      <c r="K373" s="28"/>
      <c r="L373" s="17"/>
      <c r="M373" s="17"/>
      <c r="N373" s="9" t="str">
        <f t="shared" si="10"/>
        <v/>
      </c>
      <c r="O373" s="9" t="str">
        <f t="shared" si="11"/>
        <v/>
      </c>
      <c r="P373" s="18"/>
      <c r="Q373" s="17"/>
    </row>
    <row r="374" spans="1:17" ht="15" customHeight="1" x14ac:dyDescent="0.35">
      <c r="A374" s="29"/>
      <c r="B374" s="25"/>
      <c r="C374" s="25"/>
      <c r="D374" s="25"/>
      <c r="E374" s="25"/>
      <c r="F374" s="25"/>
      <c r="G374" s="25"/>
      <c r="H374" s="26"/>
      <c r="I374" s="27"/>
      <c r="J374" s="25"/>
      <c r="K374" s="28"/>
      <c r="L374" s="17"/>
      <c r="M374" s="17"/>
      <c r="N374" s="9" t="str">
        <f t="shared" si="10"/>
        <v/>
      </c>
      <c r="O374" s="9" t="str">
        <f t="shared" si="11"/>
        <v/>
      </c>
      <c r="P374" s="18"/>
      <c r="Q374" s="17"/>
    </row>
    <row r="375" spans="1:17" ht="15" customHeight="1" x14ac:dyDescent="0.35">
      <c r="A375" s="29"/>
      <c r="B375" s="25"/>
      <c r="C375" s="25"/>
      <c r="D375" s="25"/>
      <c r="E375" s="25"/>
      <c r="F375" s="25"/>
      <c r="G375" s="25"/>
      <c r="H375" s="26"/>
      <c r="I375" s="27"/>
      <c r="J375" s="25"/>
      <c r="K375" s="28"/>
      <c r="L375" s="17"/>
      <c r="M375" s="17"/>
      <c r="N375" s="9" t="str">
        <f t="shared" si="10"/>
        <v/>
      </c>
      <c r="O375" s="9" t="str">
        <f t="shared" si="11"/>
        <v/>
      </c>
      <c r="P375" s="18"/>
      <c r="Q375" s="17"/>
    </row>
    <row r="376" spans="1:17" ht="15" customHeight="1" x14ac:dyDescent="0.35">
      <c r="A376" s="29"/>
      <c r="B376" s="25"/>
      <c r="C376" s="25"/>
      <c r="D376" s="25"/>
      <c r="E376" s="25"/>
      <c r="F376" s="25"/>
      <c r="G376" s="25"/>
      <c r="H376" s="26"/>
      <c r="I376" s="27"/>
      <c r="J376" s="25"/>
      <c r="K376" s="28"/>
      <c r="L376" s="17"/>
      <c r="M376" s="17"/>
      <c r="N376" s="9" t="str">
        <f t="shared" si="10"/>
        <v/>
      </c>
      <c r="O376" s="9" t="str">
        <f t="shared" si="11"/>
        <v/>
      </c>
      <c r="P376" s="18"/>
      <c r="Q376" s="17"/>
    </row>
    <row r="377" spans="1:17" ht="15" customHeight="1" x14ac:dyDescent="0.35">
      <c r="A377" s="29"/>
      <c r="B377" s="25"/>
      <c r="C377" s="25"/>
      <c r="D377" s="25"/>
      <c r="E377" s="25"/>
      <c r="F377" s="25"/>
      <c r="G377" s="25"/>
      <c r="H377" s="26"/>
      <c r="I377" s="27"/>
      <c r="J377" s="25"/>
      <c r="K377" s="28"/>
      <c r="L377" s="17"/>
      <c r="M377" s="17"/>
      <c r="N377" s="9" t="str">
        <f t="shared" si="10"/>
        <v/>
      </c>
      <c r="O377" s="9" t="str">
        <f t="shared" si="11"/>
        <v/>
      </c>
      <c r="P377" s="18"/>
      <c r="Q377" s="17"/>
    </row>
    <row r="378" spans="1:17" ht="15" customHeight="1" x14ac:dyDescent="0.35">
      <c r="A378" s="29"/>
      <c r="B378" s="25"/>
      <c r="C378" s="25"/>
      <c r="D378" s="25"/>
      <c r="E378" s="25"/>
      <c r="F378" s="25"/>
      <c r="G378" s="25"/>
      <c r="H378" s="26"/>
      <c r="I378" s="27"/>
      <c r="J378" s="25"/>
      <c r="K378" s="28"/>
      <c r="L378" s="17"/>
      <c r="M378" s="17"/>
      <c r="N378" s="9" t="str">
        <f t="shared" si="10"/>
        <v/>
      </c>
      <c r="O378" s="9" t="str">
        <f t="shared" si="11"/>
        <v/>
      </c>
      <c r="P378" s="18"/>
      <c r="Q378" s="17"/>
    </row>
    <row r="379" spans="1:17" ht="15" customHeight="1" x14ac:dyDescent="0.35">
      <c r="A379" s="29"/>
      <c r="B379" s="25"/>
      <c r="C379" s="25"/>
      <c r="D379" s="25"/>
      <c r="E379" s="25"/>
      <c r="F379" s="25"/>
      <c r="G379" s="25"/>
      <c r="H379" s="26"/>
      <c r="I379" s="27"/>
      <c r="J379" s="25"/>
      <c r="K379" s="28"/>
      <c r="L379" s="17"/>
      <c r="M379" s="17"/>
      <c r="N379" s="9" t="str">
        <f t="shared" si="10"/>
        <v/>
      </c>
      <c r="O379" s="9" t="str">
        <f t="shared" si="11"/>
        <v/>
      </c>
      <c r="P379" s="18"/>
      <c r="Q379" s="17"/>
    </row>
    <row r="380" spans="1:17" ht="15" customHeight="1" x14ac:dyDescent="0.35">
      <c r="A380" s="29"/>
      <c r="B380" s="25"/>
      <c r="C380" s="25"/>
      <c r="D380" s="25"/>
      <c r="E380" s="25"/>
      <c r="F380" s="25"/>
      <c r="G380" s="25"/>
      <c r="H380" s="26"/>
      <c r="I380" s="27"/>
      <c r="J380" s="25"/>
      <c r="K380" s="28"/>
      <c r="L380" s="17"/>
      <c r="M380" s="17"/>
      <c r="N380" s="9" t="str">
        <f t="shared" si="10"/>
        <v/>
      </c>
      <c r="O380" s="9" t="str">
        <f t="shared" si="11"/>
        <v/>
      </c>
      <c r="P380" s="18"/>
      <c r="Q380" s="17"/>
    </row>
    <row r="381" spans="1:17" ht="15" customHeight="1" x14ac:dyDescent="0.35">
      <c r="A381" s="29"/>
      <c r="B381" s="25"/>
      <c r="C381" s="25"/>
      <c r="D381" s="25"/>
      <c r="E381" s="25"/>
      <c r="F381" s="25"/>
      <c r="G381" s="25"/>
      <c r="H381" s="26"/>
      <c r="I381" s="27"/>
      <c r="J381" s="25"/>
      <c r="K381" s="28"/>
      <c r="L381" s="17"/>
      <c r="M381" s="17"/>
      <c r="N381" s="9" t="str">
        <f t="shared" si="10"/>
        <v/>
      </c>
      <c r="O381" s="9" t="str">
        <f t="shared" si="11"/>
        <v/>
      </c>
      <c r="P381" s="18"/>
      <c r="Q381" s="17"/>
    </row>
    <row r="382" spans="1:17" ht="15" customHeight="1" x14ac:dyDescent="0.35">
      <c r="A382" s="29"/>
      <c r="B382" s="25"/>
      <c r="C382" s="25"/>
      <c r="D382" s="25"/>
      <c r="E382" s="25"/>
      <c r="F382" s="25"/>
      <c r="G382" s="25"/>
      <c r="H382" s="26"/>
      <c r="I382" s="27"/>
      <c r="J382" s="25"/>
      <c r="K382" s="28"/>
      <c r="L382" s="17"/>
      <c r="M382" s="17"/>
      <c r="N382" s="9" t="str">
        <f t="shared" si="10"/>
        <v/>
      </c>
      <c r="O382" s="9" t="str">
        <f t="shared" si="11"/>
        <v/>
      </c>
      <c r="P382" s="18"/>
      <c r="Q382" s="17"/>
    </row>
    <row r="383" spans="1:17" ht="15" customHeight="1" x14ac:dyDescent="0.35">
      <c r="A383" s="29"/>
      <c r="B383" s="25"/>
      <c r="C383" s="25"/>
      <c r="D383" s="25"/>
      <c r="E383" s="25"/>
      <c r="F383" s="25"/>
      <c r="G383" s="25"/>
      <c r="H383" s="26"/>
      <c r="I383" s="27"/>
      <c r="J383" s="25"/>
      <c r="K383" s="28"/>
      <c r="L383" s="17"/>
      <c r="M383" s="17"/>
      <c r="N383" s="9" t="str">
        <f t="shared" si="10"/>
        <v/>
      </c>
      <c r="O383" s="9" t="str">
        <f t="shared" si="11"/>
        <v/>
      </c>
      <c r="P383" s="18"/>
      <c r="Q383" s="17"/>
    </row>
    <row r="384" spans="1:17" ht="15" customHeight="1" x14ac:dyDescent="0.35">
      <c r="A384" s="29"/>
      <c r="B384" s="25"/>
      <c r="C384" s="25"/>
      <c r="D384" s="25"/>
      <c r="E384" s="25"/>
      <c r="F384" s="25"/>
      <c r="G384" s="25"/>
      <c r="H384" s="26"/>
      <c r="I384" s="27"/>
      <c r="J384" s="25"/>
      <c r="K384" s="28"/>
      <c r="L384" s="17"/>
      <c r="M384" s="17"/>
      <c r="N384" s="9" t="str">
        <f t="shared" si="10"/>
        <v/>
      </c>
      <c r="O384" s="9" t="str">
        <f t="shared" si="11"/>
        <v/>
      </c>
      <c r="P384" s="18"/>
      <c r="Q384" s="17"/>
    </row>
    <row r="385" spans="1:17" ht="15" customHeight="1" x14ac:dyDescent="0.35">
      <c r="A385" s="29"/>
      <c r="B385" s="25"/>
      <c r="C385" s="25"/>
      <c r="D385" s="25"/>
      <c r="E385" s="25"/>
      <c r="F385" s="25"/>
      <c r="G385" s="25"/>
      <c r="H385" s="26"/>
      <c r="I385" s="27"/>
      <c r="J385" s="25"/>
      <c r="K385" s="28"/>
      <c r="L385" s="17"/>
      <c r="M385" s="17"/>
      <c r="N385" s="9" t="str">
        <f t="shared" si="10"/>
        <v/>
      </c>
      <c r="O385" s="9" t="str">
        <f t="shared" si="11"/>
        <v/>
      </c>
      <c r="P385" s="18"/>
      <c r="Q385" s="17"/>
    </row>
    <row r="386" spans="1:17" ht="15" customHeight="1" x14ac:dyDescent="0.35">
      <c r="A386" s="29"/>
      <c r="B386" s="25"/>
      <c r="C386" s="25"/>
      <c r="D386" s="25"/>
      <c r="E386" s="25"/>
      <c r="F386" s="25"/>
      <c r="G386" s="25"/>
      <c r="H386" s="26"/>
      <c r="I386" s="27"/>
      <c r="J386" s="25"/>
      <c r="K386" s="28"/>
      <c r="L386" s="17"/>
      <c r="M386" s="17"/>
      <c r="N386" s="9" t="str">
        <f t="shared" ref="N386:N449" si="12">IF(M386="","",IF(M386="Push",0,IF(M386="Void",0,IF(M386="W",IF(H386&gt;0,K386*H386/100,K386*100/ABS(H386)),-K386))))</f>
        <v/>
      </c>
      <c r="O386" s="9" t="str">
        <f t="shared" si="11"/>
        <v/>
      </c>
      <c r="P386" s="18"/>
      <c r="Q386" s="17"/>
    </row>
    <row r="387" spans="1:17" ht="15" customHeight="1" x14ac:dyDescent="0.35">
      <c r="A387" s="29"/>
      <c r="B387" s="25"/>
      <c r="C387" s="25"/>
      <c r="D387" s="25"/>
      <c r="E387" s="25"/>
      <c r="F387" s="25"/>
      <c r="G387" s="25"/>
      <c r="H387" s="26"/>
      <c r="I387" s="27"/>
      <c r="J387" s="25"/>
      <c r="K387" s="28"/>
      <c r="L387" s="17"/>
      <c r="M387" s="17"/>
      <c r="N387" s="9" t="str">
        <f t="shared" si="12"/>
        <v/>
      </c>
      <c r="O387" s="9" t="str">
        <f t="shared" ref="O387:O450" si="13">IF(N387="","",O386+N387)</f>
        <v/>
      </c>
      <c r="P387" s="18"/>
      <c r="Q387" s="17"/>
    </row>
    <row r="388" spans="1:17" ht="15" customHeight="1" x14ac:dyDescent="0.35">
      <c r="A388" s="29"/>
      <c r="B388" s="25"/>
      <c r="C388" s="25"/>
      <c r="D388" s="25"/>
      <c r="E388" s="25"/>
      <c r="F388" s="25"/>
      <c r="G388" s="25"/>
      <c r="H388" s="26"/>
      <c r="I388" s="27"/>
      <c r="J388" s="25"/>
      <c r="K388" s="28"/>
      <c r="L388" s="17"/>
      <c r="M388" s="17"/>
      <c r="N388" s="9" t="str">
        <f t="shared" si="12"/>
        <v/>
      </c>
      <c r="O388" s="9" t="str">
        <f t="shared" si="13"/>
        <v/>
      </c>
      <c r="P388" s="18"/>
      <c r="Q388" s="17"/>
    </row>
    <row r="389" spans="1:17" ht="15" customHeight="1" x14ac:dyDescent="0.35">
      <c r="A389" s="29"/>
      <c r="B389" s="25"/>
      <c r="C389" s="25"/>
      <c r="D389" s="25"/>
      <c r="E389" s="25"/>
      <c r="F389" s="25"/>
      <c r="G389" s="25"/>
      <c r="H389" s="26"/>
      <c r="I389" s="27"/>
      <c r="J389" s="25"/>
      <c r="K389" s="28"/>
      <c r="L389" s="17"/>
      <c r="M389" s="17"/>
      <c r="N389" s="9" t="str">
        <f t="shared" si="12"/>
        <v/>
      </c>
      <c r="O389" s="9" t="str">
        <f t="shared" si="13"/>
        <v/>
      </c>
      <c r="P389" s="18"/>
      <c r="Q389" s="17"/>
    </row>
    <row r="390" spans="1:17" ht="15" customHeight="1" x14ac:dyDescent="0.35">
      <c r="A390" s="29"/>
      <c r="B390" s="25"/>
      <c r="C390" s="25"/>
      <c r="D390" s="25"/>
      <c r="E390" s="25"/>
      <c r="F390" s="25"/>
      <c r="G390" s="25"/>
      <c r="H390" s="26"/>
      <c r="I390" s="27"/>
      <c r="J390" s="25"/>
      <c r="K390" s="28"/>
      <c r="L390" s="17"/>
      <c r="M390" s="17"/>
      <c r="N390" s="9" t="str">
        <f t="shared" si="12"/>
        <v/>
      </c>
      <c r="O390" s="9" t="str">
        <f t="shared" si="13"/>
        <v/>
      </c>
      <c r="P390" s="18"/>
      <c r="Q390" s="17"/>
    </row>
    <row r="391" spans="1:17" ht="15" customHeight="1" x14ac:dyDescent="0.35">
      <c r="A391" s="29"/>
      <c r="B391" s="25"/>
      <c r="C391" s="25"/>
      <c r="D391" s="25"/>
      <c r="E391" s="25"/>
      <c r="F391" s="25"/>
      <c r="G391" s="25"/>
      <c r="H391" s="26"/>
      <c r="I391" s="27"/>
      <c r="J391" s="25"/>
      <c r="K391" s="28"/>
      <c r="L391" s="17"/>
      <c r="M391" s="17"/>
      <c r="N391" s="9" t="str">
        <f t="shared" si="12"/>
        <v/>
      </c>
      <c r="O391" s="9" t="str">
        <f t="shared" si="13"/>
        <v/>
      </c>
      <c r="P391" s="18"/>
      <c r="Q391" s="17"/>
    </row>
    <row r="392" spans="1:17" ht="15" customHeight="1" x14ac:dyDescent="0.35">
      <c r="A392" s="29"/>
      <c r="B392" s="25"/>
      <c r="C392" s="25"/>
      <c r="D392" s="25"/>
      <c r="E392" s="25"/>
      <c r="F392" s="25"/>
      <c r="G392" s="25"/>
      <c r="H392" s="26"/>
      <c r="I392" s="27"/>
      <c r="J392" s="25"/>
      <c r="K392" s="28"/>
      <c r="L392" s="17"/>
      <c r="M392" s="17"/>
      <c r="N392" s="9" t="str">
        <f t="shared" si="12"/>
        <v/>
      </c>
      <c r="O392" s="9" t="str">
        <f t="shared" si="13"/>
        <v/>
      </c>
      <c r="P392" s="18"/>
      <c r="Q392" s="17"/>
    </row>
    <row r="393" spans="1:17" ht="15" customHeight="1" x14ac:dyDescent="0.35">
      <c r="A393" s="29"/>
      <c r="B393" s="25"/>
      <c r="C393" s="25"/>
      <c r="D393" s="25"/>
      <c r="E393" s="25"/>
      <c r="F393" s="25"/>
      <c r="G393" s="25"/>
      <c r="H393" s="26"/>
      <c r="I393" s="27"/>
      <c r="J393" s="25"/>
      <c r="K393" s="28"/>
      <c r="L393" s="17"/>
      <c r="M393" s="17"/>
      <c r="N393" s="9" t="str">
        <f t="shared" si="12"/>
        <v/>
      </c>
      <c r="O393" s="9" t="str">
        <f t="shared" si="13"/>
        <v/>
      </c>
      <c r="P393" s="18"/>
      <c r="Q393" s="17"/>
    </row>
    <row r="394" spans="1:17" ht="15" customHeight="1" x14ac:dyDescent="0.35">
      <c r="A394" s="29"/>
      <c r="B394" s="25"/>
      <c r="C394" s="25"/>
      <c r="D394" s="25"/>
      <c r="E394" s="25"/>
      <c r="F394" s="25"/>
      <c r="G394" s="25"/>
      <c r="H394" s="26"/>
      <c r="I394" s="27"/>
      <c r="J394" s="25"/>
      <c r="K394" s="28"/>
      <c r="L394" s="17"/>
      <c r="M394" s="17"/>
      <c r="N394" s="9" t="str">
        <f t="shared" si="12"/>
        <v/>
      </c>
      <c r="O394" s="9" t="str">
        <f t="shared" si="13"/>
        <v/>
      </c>
      <c r="P394" s="18"/>
      <c r="Q394" s="17"/>
    </row>
    <row r="395" spans="1:17" ht="15" customHeight="1" x14ac:dyDescent="0.35">
      <c r="A395" s="29"/>
      <c r="B395" s="25"/>
      <c r="C395" s="25"/>
      <c r="D395" s="25"/>
      <c r="E395" s="25"/>
      <c r="F395" s="25"/>
      <c r="G395" s="25"/>
      <c r="H395" s="26"/>
      <c r="I395" s="27"/>
      <c r="J395" s="25"/>
      <c r="K395" s="28"/>
      <c r="L395" s="17"/>
      <c r="M395" s="17"/>
      <c r="N395" s="9" t="str">
        <f t="shared" si="12"/>
        <v/>
      </c>
      <c r="O395" s="9" t="str">
        <f t="shared" si="13"/>
        <v/>
      </c>
      <c r="P395" s="18"/>
      <c r="Q395" s="17"/>
    </row>
    <row r="396" spans="1:17" ht="15" customHeight="1" x14ac:dyDescent="0.35">
      <c r="A396" s="29"/>
      <c r="B396" s="25"/>
      <c r="C396" s="25"/>
      <c r="D396" s="25"/>
      <c r="E396" s="25"/>
      <c r="F396" s="25"/>
      <c r="G396" s="25"/>
      <c r="H396" s="26"/>
      <c r="I396" s="27"/>
      <c r="J396" s="25"/>
      <c r="K396" s="28"/>
      <c r="L396" s="17"/>
      <c r="M396" s="17"/>
      <c r="N396" s="9" t="str">
        <f t="shared" si="12"/>
        <v/>
      </c>
      <c r="O396" s="9" t="str">
        <f t="shared" si="13"/>
        <v/>
      </c>
      <c r="P396" s="18"/>
      <c r="Q396" s="17"/>
    </row>
    <row r="397" spans="1:17" ht="15" customHeight="1" x14ac:dyDescent="0.35">
      <c r="A397" s="29"/>
      <c r="B397" s="25"/>
      <c r="C397" s="25"/>
      <c r="D397" s="25"/>
      <c r="E397" s="25"/>
      <c r="F397" s="25"/>
      <c r="G397" s="25"/>
      <c r="H397" s="26"/>
      <c r="I397" s="27"/>
      <c r="J397" s="25"/>
      <c r="K397" s="28"/>
      <c r="L397" s="17"/>
      <c r="M397" s="17"/>
      <c r="N397" s="9" t="str">
        <f t="shared" si="12"/>
        <v/>
      </c>
      <c r="O397" s="9" t="str">
        <f t="shared" si="13"/>
        <v/>
      </c>
      <c r="P397" s="18"/>
      <c r="Q397" s="17"/>
    </row>
    <row r="398" spans="1:17" ht="15" customHeight="1" x14ac:dyDescent="0.35">
      <c r="A398" s="29"/>
      <c r="B398" s="25"/>
      <c r="C398" s="25"/>
      <c r="D398" s="25"/>
      <c r="E398" s="25"/>
      <c r="F398" s="25"/>
      <c r="G398" s="25"/>
      <c r="H398" s="26"/>
      <c r="I398" s="27"/>
      <c r="J398" s="25"/>
      <c r="K398" s="28"/>
      <c r="L398" s="17"/>
      <c r="M398" s="17"/>
      <c r="N398" s="9" t="str">
        <f t="shared" si="12"/>
        <v/>
      </c>
      <c r="O398" s="9" t="str">
        <f t="shared" si="13"/>
        <v/>
      </c>
      <c r="P398" s="18"/>
      <c r="Q398" s="17"/>
    </row>
    <row r="399" spans="1:17" ht="15" customHeight="1" x14ac:dyDescent="0.35">
      <c r="A399" s="29"/>
      <c r="B399" s="25"/>
      <c r="C399" s="25"/>
      <c r="D399" s="25"/>
      <c r="E399" s="25"/>
      <c r="F399" s="25"/>
      <c r="G399" s="25"/>
      <c r="H399" s="26"/>
      <c r="I399" s="27"/>
      <c r="J399" s="25"/>
      <c r="K399" s="28"/>
      <c r="L399" s="17"/>
      <c r="M399" s="17"/>
      <c r="N399" s="9" t="str">
        <f t="shared" si="12"/>
        <v/>
      </c>
      <c r="O399" s="9" t="str">
        <f t="shared" si="13"/>
        <v/>
      </c>
      <c r="P399" s="18"/>
      <c r="Q399" s="17"/>
    </row>
    <row r="400" spans="1:17" ht="15" customHeight="1" x14ac:dyDescent="0.35">
      <c r="A400" s="29"/>
      <c r="B400" s="25"/>
      <c r="C400" s="25"/>
      <c r="D400" s="25"/>
      <c r="E400" s="25"/>
      <c r="F400" s="25"/>
      <c r="G400" s="25"/>
      <c r="H400" s="26"/>
      <c r="I400" s="27"/>
      <c r="J400" s="25"/>
      <c r="K400" s="28"/>
      <c r="L400" s="17"/>
      <c r="M400" s="17"/>
      <c r="N400" s="9" t="str">
        <f t="shared" si="12"/>
        <v/>
      </c>
      <c r="O400" s="9" t="str">
        <f t="shared" si="13"/>
        <v/>
      </c>
      <c r="P400" s="18"/>
      <c r="Q400" s="17"/>
    </row>
    <row r="401" spans="1:17" ht="15" customHeight="1" x14ac:dyDescent="0.35">
      <c r="A401" s="29"/>
      <c r="B401" s="25"/>
      <c r="C401" s="25"/>
      <c r="D401" s="25"/>
      <c r="E401" s="25"/>
      <c r="F401" s="25"/>
      <c r="G401" s="25"/>
      <c r="H401" s="26"/>
      <c r="I401" s="27"/>
      <c r="J401" s="25"/>
      <c r="K401" s="28"/>
      <c r="L401" s="17"/>
      <c r="M401" s="17"/>
      <c r="N401" s="9" t="str">
        <f t="shared" si="12"/>
        <v/>
      </c>
      <c r="O401" s="9" t="str">
        <f t="shared" si="13"/>
        <v/>
      </c>
      <c r="P401" s="18"/>
      <c r="Q401" s="17"/>
    </row>
    <row r="402" spans="1:17" ht="15" customHeight="1" x14ac:dyDescent="0.35">
      <c r="A402" s="29"/>
      <c r="B402" s="25"/>
      <c r="C402" s="25"/>
      <c r="D402" s="25"/>
      <c r="E402" s="25"/>
      <c r="F402" s="25"/>
      <c r="G402" s="25"/>
      <c r="H402" s="26"/>
      <c r="I402" s="27"/>
      <c r="J402" s="25"/>
      <c r="K402" s="28"/>
      <c r="L402" s="17"/>
      <c r="M402" s="17"/>
      <c r="N402" s="9" t="str">
        <f t="shared" si="12"/>
        <v/>
      </c>
      <c r="O402" s="9" t="str">
        <f t="shared" si="13"/>
        <v/>
      </c>
      <c r="P402" s="18"/>
      <c r="Q402" s="17"/>
    </row>
    <row r="403" spans="1:17" ht="15" customHeight="1" x14ac:dyDescent="0.35">
      <c r="A403" s="29"/>
      <c r="B403" s="25"/>
      <c r="C403" s="25"/>
      <c r="D403" s="25"/>
      <c r="E403" s="25"/>
      <c r="F403" s="25"/>
      <c r="G403" s="25"/>
      <c r="H403" s="26"/>
      <c r="I403" s="27"/>
      <c r="J403" s="25"/>
      <c r="K403" s="28"/>
      <c r="L403" s="17"/>
      <c r="M403" s="17"/>
      <c r="N403" s="9" t="str">
        <f t="shared" si="12"/>
        <v/>
      </c>
      <c r="O403" s="9" t="str">
        <f t="shared" si="13"/>
        <v/>
      </c>
      <c r="P403" s="18"/>
      <c r="Q403" s="17"/>
    </row>
    <row r="404" spans="1:17" ht="15" customHeight="1" x14ac:dyDescent="0.35">
      <c r="A404" s="29"/>
      <c r="B404" s="25"/>
      <c r="C404" s="25"/>
      <c r="D404" s="25"/>
      <c r="E404" s="25"/>
      <c r="F404" s="25"/>
      <c r="G404" s="25"/>
      <c r="H404" s="26"/>
      <c r="I404" s="27"/>
      <c r="J404" s="25"/>
      <c r="K404" s="28"/>
      <c r="L404" s="17"/>
      <c r="M404" s="17"/>
      <c r="N404" s="9" t="str">
        <f t="shared" si="12"/>
        <v/>
      </c>
      <c r="O404" s="9" t="str">
        <f t="shared" si="13"/>
        <v/>
      </c>
      <c r="P404" s="18"/>
      <c r="Q404" s="17"/>
    </row>
    <row r="405" spans="1:17" ht="15" customHeight="1" x14ac:dyDescent="0.35">
      <c r="A405" s="29"/>
      <c r="B405" s="25"/>
      <c r="C405" s="25"/>
      <c r="D405" s="25"/>
      <c r="E405" s="25"/>
      <c r="F405" s="25"/>
      <c r="G405" s="25"/>
      <c r="H405" s="26"/>
      <c r="I405" s="27"/>
      <c r="J405" s="25"/>
      <c r="K405" s="28"/>
      <c r="L405" s="17"/>
      <c r="M405" s="17"/>
      <c r="N405" s="9" t="str">
        <f t="shared" si="12"/>
        <v/>
      </c>
      <c r="O405" s="9" t="str">
        <f t="shared" si="13"/>
        <v/>
      </c>
      <c r="P405" s="18"/>
      <c r="Q405" s="17"/>
    </row>
    <row r="406" spans="1:17" ht="15" customHeight="1" x14ac:dyDescent="0.35">
      <c r="A406" s="29"/>
      <c r="B406" s="25"/>
      <c r="C406" s="25"/>
      <c r="D406" s="25"/>
      <c r="E406" s="25"/>
      <c r="F406" s="25"/>
      <c r="G406" s="25"/>
      <c r="H406" s="26"/>
      <c r="I406" s="27"/>
      <c r="J406" s="25"/>
      <c r="K406" s="28"/>
      <c r="L406" s="17"/>
      <c r="M406" s="17"/>
      <c r="N406" s="9" t="str">
        <f t="shared" si="12"/>
        <v/>
      </c>
      <c r="O406" s="9" t="str">
        <f t="shared" si="13"/>
        <v/>
      </c>
      <c r="P406" s="18"/>
      <c r="Q406" s="17"/>
    </row>
    <row r="407" spans="1:17" ht="15" customHeight="1" x14ac:dyDescent="0.35">
      <c r="A407" s="29"/>
      <c r="B407" s="25"/>
      <c r="C407" s="25"/>
      <c r="D407" s="25"/>
      <c r="E407" s="25"/>
      <c r="F407" s="25"/>
      <c r="G407" s="25"/>
      <c r="H407" s="26"/>
      <c r="I407" s="27"/>
      <c r="J407" s="25"/>
      <c r="K407" s="28"/>
      <c r="L407" s="17"/>
      <c r="M407" s="17"/>
      <c r="N407" s="9" t="str">
        <f t="shared" si="12"/>
        <v/>
      </c>
      <c r="O407" s="9" t="str">
        <f t="shared" si="13"/>
        <v/>
      </c>
      <c r="P407" s="18"/>
      <c r="Q407" s="17"/>
    </row>
    <row r="408" spans="1:17" ht="15" customHeight="1" x14ac:dyDescent="0.35">
      <c r="A408" s="29"/>
      <c r="B408" s="25"/>
      <c r="C408" s="25"/>
      <c r="D408" s="25"/>
      <c r="E408" s="25"/>
      <c r="F408" s="25"/>
      <c r="G408" s="25"/>
      <c r="H408" s="26"/>
      <c r="I408" s="27"/>
      <c r="J408" s="25"/>
      <c r="K408" s="28"/>
      <c r="L408" s="17"/>
      <c r="M408" s="17"/>
      <c r="N408" s="9" t="str">
        <f t="shared" si="12"/>
        <v/>
      </c>
      <c r="O408" s="9" t="str">
        <f t="shared" si="13"/>
        <v/>
      </c>
      <c r="P408" s="18"/>
      <c r="Q408" s="17"/>
    </row>
    <row r="409" spans="1:17" ht="15" customHeight="1" x14ac:dyDescent="0.35">
      <c r="A409" s="29"/>
      <c r="B409" s="25"/>
      <c r="C409" s="25"/>
      <c r="D409" s="25"/>
      <c r="E409" s="25"/>
      <c r="F409" s="25"/>
      <c r="G409" s="25"/>
      <c r="H409" s="26"/>
      <c r="I409" s="27"/>
      <c r="J409" s="25"/>
      <c r="K409" s="28"/>
      <c r="L409" s="17"/>
      <c r="M409" s="17"/>
      <c r="N409" s="9" t="str">
        <f t="shared" si="12"/>
        <v/>
      </c>
      <c r="O409" s="9" t="str">
        <f t="shared" si="13"/>
        <v/>
      </c>
      <c r="P409" s="18"/>
      <c r="Q409" s="17"/>
    </row>
    <row r="410" spans="1:17" ht="15" customHeight="1" x14ac:dyDescent="0.35">
      <c r="A410" s="29"/>
      <c r="B410" s="25"/>
      <c r="C410" s="25"/>
      <c r="D410" s="25"/>
      <c r="E410" s="25"/>
      <c r="F410" s="25"/>
      <c r="G410" s="25"/>
      <c r="H410" s="26"/>
      <c r="I410" s="27"/>
      <c r="J410" s="25"/>
      <c r="K410" s="28"/>
      <c r="L410" s="17"/>
      <c r="M410" s="17"/>
      <c r="N410" s="9" t="str">
        <f t="shared" si="12"/>
        <v/>
      </c>
      <c r="O410" s="9" t="str">
        <f t="shared" si="13"/>
        <v/>
      </c>
      <c r="P410" s="18"/>
      <c r="Q410" s="17"/>
    </row>
    <row r="411" spans="1:17" ht="15" customHeight="1" x14ac:dyDescent="0.35">
      <c r="A411" s="29"/>
      <c r="B411" s="25"/>
      <c r="C411" s="25"/>
      <c r="D411" s="25"/>
      <c r="E411" s="25"/>
      <c r="F411" s="25"/>
      <c r="G411" s="25"/>
      <c r="H411" s="26"/>
      <c r="I411" s="27"/>
      <c r="J411" s="25"/>
      <c r="K411" s="28"/>
      <c r="L411" s="17"/>
      <c r="M411" s="17"/>
      <c r="N411" s="9" t="str">
        <f t="shared" si="12"/>
        <v/>
      </c>
      <c r="O411" s="9" t="str">
        <f t="shared" si="13"/>
        <v/>
      </c>
      <c r="P411" s="18"/>
      <c r="Q411" s="17"/>
    </row>
    <row r="412" spans="1:17" ht="15" customHeight="1" x14ac:dyDescent="0.35">
      <c r="A412" s="29"/>
      <c r="B412" s="25"/>
      <c r="C412" s="25"/>
      <c r="D412" s="25"/>
      <c r="E412" s="25"/>
      <c r="F412" s="25"/>
      <c r="G412" s="25"/>
      <c r="H412" s="26"/>
      <c r="I412" s="27"/>
      <c r="J412" s="25"/>
      <c r="K412" s="28"/>
      <c r="L412" s="17"/>
      <c r="M412" s="17"/>
      <c r="N412" s="9" t="str">
        <f t="shared" si="12"/>
        <v/>
      </c>
      <c r="O412" s="9" t="str">
        <f t="shared" si="13"/>
        <v/>
      </c>
      <c r="P412" s="18"/>
      <c r="Q412" s="17"/>
    </row>
    <row r="413" spans="1:17" ht="15" customHeight="1" x14ac:dyDescent="0.35">
      <c r="A413" s="29"/>
      <c r="B413" s="25"/>
      <c r="C413" s="25"/>
      <c r="D413" s="25"/>
      <c r="E413" s="25"/>
      <c r="F413" s="25"/>
      <c r="G413" s="25"/>
      <c r="H413" s="26"/>
      <c r="I413" s="27"/>
      <c r="J413" s="25"/>
      <c r="K413" s="28"/>
      <c r="L413" s="17"/>
      <c r="M413" s="17"/>
      <c r="N413" s="9" t="str">
        <f t="shared" si="12"/>
        <v/>
      </c>
      <c r="O413" s="9" t="str">
        <f t="shared" si="13"/>
        <v/>
      </c>
      <c r="P413" s="18"/>
      <c r="Q413" s="17"/>
    </row>
    <row r="414" spans="1:17" ht="15" customHeight="1" x14ac:dyDescent="0.35">
      <c r="A414" s="29"/>
      <c r="B414" s="25"/>
      <c r="C414" s="25"/>
      <c r="D414" s="25"/>
      <c r="E414" s="25"/>
      <c r="F414" s="25"/>
      <c r="G414" s="25"/>
      <c r="H414" s="26"/>
      <c r="I414" s="27"/>
      <c r="J414" s="25"/>
      <c r="K414" s="28"/>
      <c r="L414" s="17"/>
      <c r="M414" s="17"/>
      <c r="N414" s="9" t="str">
        <f t="shared" si="12"/>
        <v/>
      </c>
      <c r="O414" s="9" t="str">
        <f t="shared" si="13"/>
        <v/>
      </c>
      <c r="P414" s="18"/>
      <c r="Q414" s="17"/>
    </row>
    <row r="415" spans="1:17" ht="15" customHeight="1" x14ac:dyDescent="0.35">
      <c r="A415" s="29"/>
      <c r="B415" s="25"/>
      <c r="C415" s="25"/>
      <c r="D415" s="25"/>
      <c r="E415" s="25"/>
      <c r="F415" s="25"/>
      <c r="G415" s="25"/>
      <c r="H415" s="26"/>
      <c r="I415" s="27"/>
      <c r="J415" s="25"/>
      <c r="K415" s="28"/>
      <c r="L415" s="17"/>
      <c r="M415" s="17"/>
      <c r="N415" s="9" t="str">
        <f t="shared" si="12"/>
        <v/>
      </c>
      <c r="O415" s="9" t="str">
        <f t="shared" si="13"/>
        <v/>
      </c>
      <c r="P415" s="18"/>
      <c r="Q415" s="17"/>
    </row>
    <row r="416" spans="1:17" ht="15" customHeight="1" x14ac:dyDescent="0.35">
      <c r="A416" s="29"/>
      <c r="B416" s="25"/>
      <c r="C416" s="25"/>
      <c r="D416" s="25"/>
      <c r="E416" s="25"/>
      <c r="F416" s="25"/>
      <c r="G416" s="25"/>
      <c r="H416" s="26"/>
      <c r="I416" s="27"/>
      <c r="J416" s="25"/>
      <c r="K416" s="28"/>
      <c r="L416" s="17"/>
      <c r="M416" s="17"/>
      <c r="N416" s="9" t="str">
        <f t="shared" si="12"/>
        <v/>
      </c>
      <c r="O416" s="9" t="str">
        <f t="shared" si="13"/>
        <v/>
      </c>
      <c r="P416" s="18"/>
      <c r="Q416" s="17"/>
    </row>
    <row r="417" spans="1:17" ht="15" customHeight="1" x14ac:dyDescent="0.35">
      <c r="A417" s="29"/>
      <c r="B417" s="25"/>
      <c r="C417" s="25"/>
      <c r="D417" s="25"/>
      <c r="E417" s="25"/>
      <c r="F417" s="25"/>
      <c r="G417" s="25"/>
      <c r="H417" s="26"/>
      <c r="I417" s="27"/>
      <c r="J417" s="25"/>
      <c r="K417" s="28"/>
      <c r="L417" s="17"/>
      <c r="M417" s="17"/>
      <c r="N417" s="9" t="str">
        <f t="shared" si="12"/>
        <v/>
      </c>
      <c r="O417" s="9" t="str">
        <f t="shared" si="13"/>
        <v/>
      </c>
      <c r="P417" s="18"/>
      <c r="Q417" s="17"/>
    </row>
    <row r="418" spans="1:17" ht="15" customHeight="1" x14ac:dyDescent="0.35">
      <c r="A418" s="29"/>
      <c r="B418" s="25"/>
      <c r="C418" s="25"/>
      <c r="D418" s="25"/>
      <c r="E418" s="25"/>
      <c r="F418" s="25"/>
      <c r="G418" s="25"/>
      <c r="H418" s="26"/>
      <c r="I418" s="27"/>
      <c r="J418" s="25"/>
      <c r="K418" s="28"/>
      <c r="L418" s="17"/>
      <c r="M418" s="17"/>
      <c r="N418" s="9" t="str">
        <f t="shared" si="12"/>
        <v/>
      </c>
      <c r="O418" s="9" t="str">
        <f t="shared" si="13"/>
        <v/>
      </c>
      <c r="P418" s="18"/>
      <c r="Q418" s="17"/>
    </row>
    <row r="419" spans="1:17" ht="15" customHeight="1" x14ac:dyDescent="0.35">
      <c r="A419" s="29"/>
      <c r="B419" s="25"/>
      <c r="C419" s="25"/>
      <c r="D419" s="25"/>
      <c r="E419" s="25"/>
      <c r="F419" s="25"/>
      <c r="G419" s="25"/>
      <c r="H419" s="26"/>
      <c r="I419" s="27"/>
      <c r="J419" s="25"/>
      <c r="K419" s="28"/>
      <c r="L419" s="17"/>
      <c r="M419" s="17"/>
      <c r="N419" s="9" t="str">
        <f t="shared" si="12"/>
        <v/>
      </c>
      <c r="O419" s="9" t="str">
        <f t="shared" si="13"/>
        <v/>
      </c>
      <c r="P419" s="18"/>
      <c r="Q419" s="17"/>
    </row>
    <row r="420" spans="1:17" ht="15" customHeight="1" x14ac:dyDescent="0.35">
      <c r="A420" s="29"/>
      <c r="B420" s="25"/>
      <c r="C420" s="25"/>
      <c r="D420" s="25"/>
      <c r="E420" s="25"/>
      <c r="F420" s="25"/>
      <c r="G420" s="25"/>
      <c r="H420" s="26"/>
      <c r="I420" s="27"/>
      <c r="J420" s="25"/>
      <c r="K420" s="28"/>
      <c r="L420" s="17"/>
      <c r="M420" s="17"/>
      <c r="N420" s="9" t="str">
        <f t="shared" si="12"/>
        <v/>
      </c>
      <c r="O420" s="9" t="str">
        <f t="shared" si="13"/>
        <v/>
      </c>
      <c r="P420" s="18"/>
      <c r="Q420" s="17"/>
    </row>
    <row r="421" spans="1:17" ht="15" customHeight="1" x14ac:dyDescent="0.35">
      <c r="A421" s="29"/>
      <c r="B421" s="25"/>
      <c r="C421" s="25"/>
      <c r="D421" s="25"/>
      <c r="E421" s="25"/>
      <c r="F421" s="25"/>
      <c r="G421" s="25"/>
      <c r="H421" s="26"/>
      <c r="I421" s="27"/>
      <c r="J421" s="25"/>
      <c r="K421" s="28"/>
      <c r="L421" s="17"/>
      <c r="M421" s="17"/>
      <c r="N421" s="9" t="str">
        <f t="shared" si="12"/>
        <v/>
      </c>
      <c r="O421" s="9" t="str">
        <f t="shared" si="13"/>
        <v/>
      </c>
      <c r="P421" s="18"/>
      <c r="Q421" s="17"/>
    </row>
    <row r="422" spans="1:17" ht="15" customHeight="1" x14ac:dyDescent="0.35">
      <c r="A422" s="29"/>
      <c r="B422" s="25"/>
      <c r="C422" s="25"/>
      <c r="D422" s="25"/>
      <c r="E422" s="25"/>
      <c r="F422" s="25"/>
      <c r="G422" s="25"/>
      <c r="H422" s="26"/>
      <c r="I422" s="27"/>
      <c r="J422" s="25"/>
      <c r="K422" s="28"/>
      <c r="L422" s="17"/>
      <c r="M422" s="17"/>
      <c r="N422" s="9" t="str">
        <f t="shared" si="12"/>
        <v/>
      </c>
      <c r="O422" s="9" t="str">
        <f t="shared" si="13"/>
        <v/>
      </c>
      <c r="P422" s="18"/>
      <c r="Q422" s="17"/>
    </row>
    <row r="423" spans="1:17" ht="15" customHeight="1" x14ac:dyDescent="0.35">
      <c r="A423" s="29"/>
      <c r="B423" s="25"/>
      <c r="C423" s="25"/>
      <c r="D423" s="25"/>
      <c r="E423" s="25"/>
      <c r="F423" s="25"/>
      <c r="G423" s="25"/>
      <c r="H423" s="26"/>
      <c r="I423" s="27"/>
      <c r="J423" s="25"/>
      <c r="K423" s="28"/>
      <c r="L423" s="17"/>
      <c r="M423" s="17"/>
      <c r="N423" s="9" t="str">
        <f t="shared" si="12"/>
        <v/>
      </c>
      <c r="O423" s="9" t="str">
        <f t="shared" si="13"/>
        <v/>
      </c>
      <c r="P423" s="18"/>
      <c r="Q423" s="17"/>
    </row>
    <row r="424" spans="1:17" ht="15" customHeight="1" x14ac:dyDescent="0.35">
      <c r="A424" s="29"/>
      <c r="B424" s="25"/>
      <c r="C424" s="25"/>
      <c r="D424" s="25"/>
      <c r="E424" s="25"/>
      <c r="F424" s="25"/>
      <c r="G424" s="25"/>
      <c r="H424" s="26"/>
      <c r="I424" s="27"/>
      <c r="J424" s="25"/>
      <c r="K424" s="28"/>
      <c r="L424" s="17"/>
      <c r="M424" s="17"/>
      <c r="N424" s="9" t="str">
        <f t="shared" si="12"/>
        <v/>
      </c>
      <c r="O424" s="9" t="str">
        <f t="shared" si="13"/>
        <v/>
      </c>
      <c r="P424" s="18"/>
      <c r="Q424" s="17"/>
    </row>
    <row r="425" spans="1:17" ht="15" customHeight="1" x14ac:dyDescent="0.35">
      <c r="A425" s="29"/>
      <c r="B425" s="25"/>
      <c r="C425" s="25"/>
      <c r="D425" s="25"/>
      <c r="E425" s="25"/>
      <c r="F425" s="25"/>
      <c r="G425" s="25"/>
      <c r="H425" s="26"/>
      <c r="I425" s="27"/>
      <c r="J425" s="25"/>
      <c r="K425" s="28"/>
      <c r="L425" s="17"/>
      <c r="M425" s="17"/>
      <c r="N425" s="9" t="str">
        <f t="shared" si="12"/>
        <v/>
      </c>
      <c r="O425" s="9" t="str">
        <f t="shared" si="13"/>
        <v/>
      </c>
      <c r="P425" s="18"/>
      <c r="Q425" s="17"/>
    </row>
    <row r="426" spans="1:17" ht="15" customHeight="1" x14ac:dyDescent="0.35">
      <c r="A426" s="29"/>
      <c r="B426" s="25"/>
      <c r="C426" s="25"/>
      <c r="D426" s="25"/>
      <c r="E426" s="25"/>
      <c r="F426" s="25"/>
      <c r="G426" s="25"/>
      <c r="H426" s="26"/>
      <c r="I426" s="27"/>
      <c r="J426" s="25"/>
      <c r="K426" s="28"/>
      <c r="L426" s="17"/>
      <c r="M426" s="17"/>
      <c r="N426" s="9" t="str">
        <f t="shared" si="12"/>
        <v/>
      </c>
      <c r="O426" s="9" t="str">
        <f t="shared" si="13"/>
        <v/>
      </c>
      <c r="P426" s="18"/>
      <c r="Q426" s="17"/>
    </row>
    <row r="427" spans="1:17" ht="15" customHeight="1" x14ac:dyDescent="0.35">
      <c r="A427" s="29"/>
      <c r="B427" s="25"/>
      <c r="C427" s="25"/>
      <c r="D427" s="25"/>
      <c r="E427" s="25"/>
      <c r="F427" s="25"/>
      <c r="G427" s="25"/>
      <c r="H427" s="26"/>
      <c r="I427" s="27"/>
      <c r="J427" s="25"/>
      <c r="K427" s="28"/>
      <c r="L427" s="17"/>
      <c r="M427" s="17"/>
      <c r="N427" s="9" t="str">
        <f t="shared" si="12"/>
        <v/>
      </c>
      <c r="O427" s="9" t="str">
        <f t="shared" si="13"/>
        <v/>
      </c>
      <c r="P427" s="18"/>
      <c r="Q427" s="17"/>
    </row>
    <row r="428" spans="1:17" ht="15" customHeight="1" x14ac:dyDescent="0.35">
      <c r="A428" s="29"/>
      <c r="B428" s="25"/>
      <c r="C428" s="25"/>
      <c r="D428" s="25"/>
      <c r="E428" s="25"/>
      <c r="F428" s="25"/>
      <c r="G428" s="25"/>
      <c r="H428" s="26"/>
      <c r="I428" s="27"/>
      <c r="J428" s="25"/>
      <c r="K428" s="28"/>
      <c r="L428" s="17"/>
      <c r="M428" s="17"/>
      <c r="N428" s="9" t="str">
        <f t="shared" si="12"/>
        <v/>
      </c>
      <c r="O428" s="9" t="str">
        <f t="shared" si="13"/>
        <v/>
      </c>
      <c r="P428" s="18"/>
      <c r="Q428" s="17"/>
    </row>
    <row r="429" spans="1:17" ht="15" customHeight="1" x14ac:dyDescent="0.35">
      <c r="A429" s="29"/>
      <c r="B429" s="25"/>
      <c r="C429" s="25"/>
      <c r="D429" s="25"/>
      <c r="E429" s="25"/>
      <c r="F429" s="25"/>
      <c r="G429" s="25"/>
      <c r="H429" s="26"/>
      <c r="I429" s="27"/>
      <c r="J429" s="25"/>
      <c r="K429" s="28"/>
      <c r="L429" s="17"/>
      <c r="M429" s="17"/>
      <c r="N429" s="9" t="str">
        <f t="shared" si="12"/>
        <v/>
      </c>
      <c r="O429" s="9" t="str">
        <f t="shared" si="13"/>
        <v/>
      </c>
      <c r="P429" s="18"/>
      <c r="Q429" s="17"/>
    </row>
    <row r="430" spans="1:17" ht="15" customHeight="1" x14ac:dyDescent="0.35">
      <c r="A430" s="29"/>
      <c r="B430" s="25"/>
      <c r="C430" s="25"/>
      <c r="D430" s="25"/>
      <c r="E430" s="25"/>
      <c r="F430" s="25"/>
      <c r="G430" s="25"/>
      <c r="H430" s="26"/>
      <c r="I430" s="27"/>
      <c r="J430" s="25"/>
      <c r="K430" s="28"/>
      <c r="L430" s="17"/>
      <c r="M430" s="17"/>
      <c r="N430" s="9" t="str">
        <f t="shared" si="12"/>
        <v/>
      </c>
      <c r="O430" s="9" t="str">
        <f t="shared" si="13"/>
        <v/>
      </c>
      <c r="P430" s="18"/>
      <c r="Q430" s="17"/>
    </row>
    <row r="431" spans="1:17" ht="15" customHeight="1" x14ac:dyDescent="0.35">
      <c r="A431" s="29"/>
      <c r="B431" s="25"/>
      <c r="C431" s="25"/>
      <c r="D431" s="25"/>
      <c r="E431" s="25"/>
      <c r="F431" s="25"/>
      <c r="G431" s="25"/>
      <c r="H431" s="26"/>
      <c r="I431" s="27"/>
      <c r="J431" s="25"/>
      <c r="K431" s="28"/>
      <c r="L431" s="17"/>
      <c r="M431" s="17"/>
      <c r="N431" s="9" t="str">
        <f t="shared" si="12"/>
        <v/>
      </c>
      <c r="O431" s="9" t="str">
        <f t="shared" si="13"/>
        <v/>
      </c>
      <c r="P431" s="18"/>
      <c r="Q431" s="17"/>
    </row>
    <row r="432" spans="1:17" ht="15" customHeight="1" x14ac:dyDescent="0.35">
      <c r="A432" s="29"/>
      <c r="B432" s="25"/>
      <c r="C432" s="25"/>
      <c r="D432" s="25"/>
      <c r="E432" s="25"/>
      <c r="F432" s="25"/>
      <c r="G432" s="25"/>
      <c r="H432" s="26"/>
      <c r="I432" s="27"/>
      <c r="J432" s="25"/>
      <c r="K432" s="28"/>
      <c r="L432" s="17"/>
      <c r="M432" s="17"/>
      <c r="N432" s="9" t="str">
        <f t="shared" si="12"/>
        <v/>
      </c>
      <c r="O432" s="9" t="str">
        <f t="shared" si="13"/>
        <v/>
      </c>
      <c r="P432" s="18"/>
      <c r="Q432" s="17"/>
    </row>
    <row r="433" spans="1:17" ht="15" customHeight="1" x14ac:dyDescent="0.35">
      <c r="A433" s="29"/>
      <c r="B433" s="25"/>
      <c r="C433" s="25"/>
      <c r="D433" s="25"/>
      <c r="E433" s="25"/>
      <c r="F433" s="25"/>
      <c r="G433" s="25"/>
      <c r="H433" s="26"/>
      <c r="I433" s="27"/>
      <c r="J433" s="25"/>
      <c r="K433" s="28"/>
      <c r="L433" s="17"/>
      <c r="M433" s="17"/>
      <c r="N433" s="9" t="str">
        <f t="shared" si="12"/>
        <v/>
      </c>
      <c r="O433" s="9" t="str">
        <f t="shared" si="13"/>
        <v/>
      </c>
      <c r="P433" s="18"/>
      <c r="Q433" s="17"/>
    </row>
    <row r="434" spans="1:17" ht="15" customHeight="1" x14ac:dyDescent="0.35">
      <c r="A434" s="29"/>
      <c r="B434" s="25"/>
      <c r="C434" s="25"/>
      <c r="D434" s="25"/>
      <c r="E434" s="25"/>
      <c r="F434" s="25"/>
      <c r="G434" s="25"/>
      <c r="H434" s="26"/>
      <c r="I434" s="27"/>
      <c r="J434" s="25"/>
      <c r="K434" s="28"/>
      <c r="L434" s="17"/>
      <c r="M434" s="17"/>
      <c r="N434" s="9" t="str">
        <f t="shared" si="12"/>
        <v/>
      </c>
      <c r="O434" s="9" t="str">
        <f t="shared" si="13"/>
        <v/>
      </c>
      <c r="P434" s="18"/>
      <c r="Q434" s="17"/>
    </row>
    <row r="435" spans="1:17" ht="15" customHeight="1" x14ac:dyDescent="0.35">
      <c r="A435" s="29"/>
      <c r="B435" s="25"/>
      <c r="C435" s="25"/>
      <c r="D435" s="25"/>
      <c r="E435" s="25"/>
      <c r="F435" s="25"/>
      <c r="G435" s="25"/>
      <c r="H435" s="26"/>
      <c r="I435" s="27"/>
      <c r="J435" s="25"/>
      <c r="K435" s="28"/>
      <c r="L435" s="17"/>
      <c r="M435" s="17"/>
      <c r="N435" s="9" t="str">
        <f t="shared" si="12"/>
        <v/>
      </c>
      <c r="O435" s="9" t="str">
        <f t="shared" si="13"/>
        <v/>
      </c>
      <c r="P435" s="18"/>
      <c r="Q435" s="17"/>
    </row>
    <row r="436" spans="1:17" ht="15" customHeight="1" x14ac:dyDescent="0.35">
      <c r="A436" s="29"/>
      <c r="B436" s="25"/>
      <c r="C436" s="25"/>
      <c r="D436" s="25"/>
      <c r="E436" s="25"/>
      <c r="F436" s="25"/>
      <c r="G436" s="25"/>
      <c r="H436" s="26"/>
      <c r="I436" s="27"/>
      <c r="J436" s="25"/>
      <c r="K436" s="28"/>
      <c r="L436" s="17"/>
      <c r="M436" s="17"/>
      <c r="N436" s="9" t="str">
        <f t="shared" si="12"/>
        <v/>
      </c>
      <c r="O436" s="9" t="str">
        <f t="shared" si="13"/>
        <v/>
      </c>
      <c r="P436" s="18"/>
      <c r="Q436" s="17"/>
    </row>
    <row r="437" spans="1:17" ht="15" customHeight="1" x14ac:dyDescent="0.35">
      <c r="A437" s="29"/>
      <c r="B437" s="25"/>
      <c r="C437" s="25"/>
      <c r="D437" s="25"/>
      <c r="E437" s="25"/>
      <c r="F437" s="25"/>
      <c r="G437" s="25"/>
      <c r="H437" s="26"/>
      <c r="I437" s="27"/>
      <c r="J437" s="25"/>
      <c r="K437" s="28"/>
      <c r="L437" s="17"/>
      <c r="M437" s="17"/>
      <c r="N437" s="9" t="str">
        <f t="shared" si="12"/>
        <v/>
      </c>
      <c r="O437" s="9" t="str">
        <f t="shared" si="13"/>
        <v/>
      </c>
      <c r="P437" s="18"/>
      <c r="Q437" s="17"/>
    </row>
    <row r="438" spans="1:17" ht="15" customHeight="1" x14ac:dyDescent="0.35">
      <c r="A438" s="29"/>
      <c r="B438" s="25"/>
      <c r="C438" s="25"/>
      <c r="D438" s="25"/>
      <c r="E438" s="25"/>
      <c r="F438" s="25"/>
      <c r="G438" s="25"/>
      <c r="H438" s="26"/>
      <c r="I438" s="27"/>
      <c r="J438" s="25"/>
      <c r="K438" s="28"/>
      <c r="L438" s="17"/>
      <c r="M438" s="17"/>
      <c r="N438" s="9" t="str">
        <f t="shared" si="12"/>
        <v/>
      </c>
      <c r="O438" s="9" t="str">
        <f t="shared" si="13"/>
        <v/>
      </c>
      <c r="P438" s="18"/>
      <c r="Q438" s="17"/>
    </row>
    <row r="439" spans="1:17" ht="15" customHeight="1" x14ac:dyDescent="0.35">
      <c r="A439" s="29"/>
      <c r="B439" s="25"/>
      <c r="C439" s="25"/>
      <c r="D439" s="25"/>
      <c r="E439" s="25"/>
      <c r="F439" s="25"/>
      <c r="G439" s="25"/>
      <c r="H439" s="26"/>
      <c r="I439" s="27"/>
      <c r="J439" s="25"/>
      <c r="K439" s="28"/>
      <c r="L439" s="17"/>
      <c r="M439" s="17"/>
      <c r="N439" s="9" t="str">
        <f t="shared" si="12"/>
        <v/>
      </c>
      <c r="O439" s="9" t="str">
        <f t="shared" si="13"/>
        <v/>
      </c>
      <c r="P439" s="18"/>
      <c r="Q439" s="17"/>
    </row>
    <row r="440" spans="1:17" ht="15" customHeight="1" x14ac:dyDescent="0.35">
      <c r="A440" s="29"/>
      <c r="B440" s="25"/>
      <c r="C440" s="25"/>
      <c r="D440" s="25"/>
      <c r="E440" s="25"/>
      <c r="F440" s="25"/>
      <c r="G440" s="25"/>
      <c r="H440" s="26"/>
      <c r="I440" s="27"/>
      <c r="J440" s="25"/>
      <c r="K440" s="28"/>
      <c r="L440" s="17"/>
      <c r="M440" s="17"/>
      <c r="N440" s="9" t="str">
        <f t="shared" si="12"/>
        <v/>
      </c>
      <c r="O440" s="9" t="str">
        <f t="shared" si="13"/>
        <v/>
      </c>
      <c r="P440" s="18"/>
      <c r="Q440" s="17"/>
    </row>
    <row r="441" spans="1:17" ht="15" customHeight="1" x14ac:dyDescent="0.35">
      <c r="A441" s="29"/>
      <c r="B441" s="25"/>
      <c r="C441" s="25"/>
      <c r="D441" s="25"/>
      <c r="E441" s="25"/>
      <c r="F441" s="25"/>
      <c r="G441" s="25"/>
      <c r="H441" s="26"/>
      <c r="I441" s="27"/>
      <c r="J441" s="25"/>
      <c r="K441" s="28"/>
      <c r="L441" s="17"/>
      <c r="M441" s="17"/>
      <c r="N441" s="9" t="str">
        <f t="shared" si="12"/>
        <v/>
      </c>
      <c r="O441" s="9" t="str">
        <f t="shared" si="13"/>
        <v/>
      </c>
      <c r="P441" s="18"/>
      <c r="Q441" s="17"/>
    </row>
    <row r="442" spans="1:17" ht="15" customHeight="1" x14ac:dyDescent="0.35">
      <c r="A442" s="29"/>
      <c r="B442" s="25"/>
      <c r="C442" s="25"/>
      <c r="D442" s="25"/>
      <c r="E442" s="25"/>
      <c r="F442" s="25"/>
      <c r="G442" s="25"/>
      <c r="H442" s="26"/>
      <c r="I442" s="27"/>
      <c r="J442" s="25"/>
      <c r="K442" s="28"/>
      <c r="L442" s="17"/>
      <c r="M442" s="17"/>
      <c r="N442" s="9" t="str">
        <f t="shared" si="12"/>
        <v/>
      </c>
      <c r="O442" s="9" t="str">
        <f t="shared" si="13"/>
        <v/>
      </c>
      <c r="P442" s="18"/>
      <c r="Q442" s="17"/>
    </row>
    <row r="443" spans="1:17" ht="15" customHeight="1" x14ac:dyDescent="0.35">
      <c r="A443" s="29"/>
      <c r="B443" s="25"/>
      <c r="C443" s="25"/>
      <c r="D443" s="25"/>
      <c r="E443" s="25"/>
      <c r="F443" s="25"/>
      <c r="G443" s="25"/>
      <c r="H443" s="26"/>
      <c r="I443" s="27"/>
      <c r="J443" s="25"/>
      <c r="K443" s="28"/>
      <c r="L443" s="17"/>
      <c r="M443" s="17"/>
      <c r="N443" s="9" t="str">
        <f t="shared" si="12"/>
        <v/>
      </c>
      <c r="O443" s="9" t="str">
        <f t="shared" si="13"/>
        <v/>
      </c>
      <c r="P443" s="18"/>
      <c r="Q443" s="17"/>
    </row>
    <row r="444" spans="1:17" ht="15" customHeight="1" x14ac:dyDescent="0.35">
      <c r="A444" s="29"/>
      <c r="B444" s="25"/>
      <c r="C444" s="25"/>
      <c r="D444" s="25"/>
      <c r="E444" s="25"/>
      <c r="F444" s="25"/>
      <c r="G444" s="25"/>
      <c r="H444" s="26"/>
      <c r="I444" s="27"/>
      <c r="J444" s="25"/>
      <c r="K444" s="28"/>
      <c r="L444" s="17"/>
      <c r="M444" s="17"/>
      <c r="N444" s="9" t="str">
        <f t="shared" si="12"/>
        <v/>
      </c>
      <c r="O444" s="9" t="str">
        <f t="shared" si="13"/>
        <v/>
      </c>
      <c r="P444" s="18"/>
      <c r="Q444" s="17"/>
    </row>
    <row r="445" spans="1:17" ht="15" customHeight="1" x14ac:dyDescent="0.35">
      <c r="A445" s="29"/>
      <c r="B445" s="25"/>
      <c r="C445" s="25"/>
      <c r="D445" s="25"/>
      <c r="E445" s="25"/>
      <c r="F445" s="25"/>
      <c r="G445" s="25"/>
      <c r="H445" s="26"/>
      <c r="I445" s="27"/>
      <c r="J445" s="25"/>
      <c r="K445" s="28"/>
      <c r="L445" s="17"/>
      <c r="M445" s="17"/>
      <c r="N445" s="9" t="str">
        <f t="shared" si="12"/>
        <v/>
      </c>
      <c r="O445" s="9" t="str">
        <f t="shared" si="13"/>
        <v/>
      </c>
      <c r="P445" s="18"/>
      <c r="Q445" s="17"/>
    </row>
    <row r="446" spans="1:17" ht="15" customHeight="1" x14ac:dyDescent="0.35">
      <c r="A446" s="29"/>
      <c r="B446" s="25"/>
      <c r="C446" s="25"/>
      <c r="D446" s="25"/>
      <c r="E446" s="25"/>
      <c r="F446" s="25"/>
      <c r="G446" s="25"/>
      <c r="H446" s="26"/>
      <c r="I446" s="27"/>
      <c r="J446" s="25"/>
      <c r="K446" s="28"/>
      <c r="L446" s="17"/>
      <c r="M446" s="17"/>
      <c r="N446" s="9" t="str">
        <f t="shared" si="12"/>
        <v/>
      </c>
      <c r="O446" s="9" t="str">
        <f t="shared" si="13"/>
        <v/>
      </c>
      <c r="P446" s="18"/>
      <c r="Q446" s="17"/>
    </row>
    <row r="447" spans="1:17" ht="15" customHeight="1" x14ac:dyDescent="0.35">
      <c r="A447" s="29"/>
      <c r="B447" s="25"/>
      <c r="C447" s="25"/>
      <c r="D447" s="25"/>
      <c r="E447" s="25"/>
      <c r="F447" s="25"/>
      <c r="G447" s="25"/>
      <c r="H447" s="26"/>
      <c r="I447" s="27"/>
      <c r="J447" s="25"/>
      <c r="K447" s="28"/>
      <c r="L447" s="17"/>
      <c r="M447" s="17"/>
      <c r="N447" s="9" t="str">
        <f t="shared" si="12"/>
        <v/>
      </c>
      <c r="O447" s="9" t="str">
        <f t="shared" si="13"/>
        <v/>
      </c>
      <c r="P447" s="18"/>
      <c r="Q447" s="17"/>
    </row>
    <row r="448" spans="1:17" ht="15" customHeight="1" x14ac:dyDescent="0.35">
      <c r="A448" s="29"/>
      <c r="B448" s="25"/>
      <c r="C448" s="25"/>
      <c r="D448" s="25"/>
      <c r="E448" s="25"/>
      <c r="F448" s="25"/>
      <c r="G448" s="25"/>
      <c r="H448" s="26"/>
      <c r="I448" s="27"/>
      <c r="J448" s="25"/>
      <c r="K448" s="28"/>
      <c r="L448" s="17"/>
      <c r="M448" s="17"/>
      <c r="N448" s="9" t="str">
        <f t="shared" si="12"/>
        <v/>
      </c>
      <c r="O448" s="9" t="str">
        <f t="shared" si="13"/>
        <v/>
      </c>
      <c r="P448" s="18"/>
      <c r="Q448" s="17"/>
    </row>
    <row r="449" spans="1:17" ht="15" customHeight="1" x14ac:dyDescent="0.35">
      <c r="A449" s="29"/>
      <c r="B449" s="25"/>
      <c r="C449" s="25"/>
      <c r="D449" s="25"/>
      <c r="E449" s="25"/>
      <c r="F449" s="25"/>
      <c r="G449" s="25"/>
      <c r="H449" s="26"/>
      <c r="I449" s="27"/>
      <c r="J449" s="25"/>
      <c r="K449" s="28"/>
      <c r="L449" s="17"/>
      <c r="M449" s="17"/>
      <c r="N449" s="9" t="str">
        <f t="shared" si="12"/>
        <v/>
      </c>
      <c r="O449" s="9" t="str">
        <f t="shared" si="13"/>
        <v/>
      </c>
      <c r="P449" s="18"/>
      <c r="Q449" s="17"/>
    </row>
    <row r="450" spans="1:17" ht="15" customHeight="1" x14ac:dyDescent="0.35">
      <c r="A450" s="29"/>
      <c r="B450" s="25"/>
      <c r="C450" s="25"/>
      <c r="D450" s="25"/>
      <c r="E450" s="25"/>
      <c r="F450" s="25"/>
      <c r="G450" s="25"/>
      <c r="H450" s="26"/>
      <c r="I450" s="27"/>
      <c r="J450" s="25"/>
      <c r="K450" s="28"/>
      <c r="L450" s="17"/>
      <c r="M450" s="17"/>
      <c r="N450" s="9" t="str">
        <f t="shared" ref="N450:N501" si="14">IF(M450="","",IF(M450="Push",0,IF(M450="Void",0,IF(M450="W",IF(H450&gt;0,K450*H450/100,K450*100/ABS(H450)),-K450))))</f>
        <v/>
      </c>
      <c r="O450" s="9" t="str">
        <f t="shared" si="13"/>
        <v/>
      </c>
      <c r="P450" s="18"/>
      <c r="Q450" s="17"/>
    </row>
    <row r="451" spans="1:17" ht="15" customHeight="1" x14ac:dyDescent="0.35">
      <c r="A451" s="29"/>
      <c r="B451" s="25"/>
      <c r="C451" s="25"/>
      <c r="D451" s="25"/>
      <c r="E451" s="25"/>
      <c r="F451" s="25"/>
      <c r="G451" s="25"/>
      <c r="H451" s="26"/>
      <c r="I451" s="27"/>
      <c r="J451" s="25"/>
      <c r="K451" s="28"/>
      <c r="L451" s="17"/>
      <c r="M451" s="17"/>
      <c r="N451" s="9" t="str">
        <f t="shared" si="14"/>
        <v/>
      </c>
      <c r="O451" s="9" t="str">
        <f t="shared" ref="O451:O501" si="15">IF(N451="","",O450+N451)</f>
        <v/>
      </c>
      <c r="P451" s="18"/>
      <c r="Q451" s="17"/>
    </row>
    <row r="452" spans="1:17" ht="15" customHeight="1" x14ac:dyDescent="0.35">
      <c r="A452" s="29"/>
      <c r="B452" s="25"/>
      <c r="C452" s="25"/>
      <c r="D452" s="25"/>
      <c r="E452" s="25"/>
      <c r="F452" s="25"/>
      <c r="G452" s="25"/>
      <c r="H452" s="26"/>
      <c r="I452" s="27"/>
      <c r="J452" s="25"/>
      <c r="K452" s="28"/>
      <c r="L452" s="17"/>
      <c r="M452" s="17"/>
      <c r="N452" s="9" t="str">
        <f t="shared" si="14"/>
        <v/>
      </c>
      <c r="O452" s="9" t="str">
        <f t="shared" si="15"/>
        <v/>
      </c>
      <c r="P452" s="18"/>
      <c r="Q452" s="17"/>
    </row>
    <row r="453" spans="1:17" ht="15" customHeight="1" x14ac:dyDescent="0.35">
      <c r="A453" s="29"/>
      <c r="B453" s="25"/>
      <c r="C453" s="25"/>
      <c r="D453" s="25"/>
      <c r="E453" s="25"/>
      <c r="F453" s="25"/>
      <c r="G453" s="25"/>
      <c r="H453" s="26"/>
      <c r="I453" s="27"/>
      <c r="J453" s="25"/>
      <c r="K453" s="28"/>
      <c r="L453" s="17"/>
      <c r="M453" s="17"/>
      <c r="N453" s="9" t="str">
        <f t="shared" si="14"/>
        <v/>
      </c>
      <c r="O453" s="9" t="str">
        <f t="shared" si="15"/>
        <v/>
      </c>
      <c r="P453" s="18"/>
      <c r="Q453" s="17"/>
    </row>
    <row r="454" spans="1:17" ht="15" customHeight="1" x14ac:dyDescent="0.35">
      <c r="A454" s="29"/>
      <c r="B454" s="25"/>
      <c r="C454" s="25"/>
      <c r="D454" s="25"/>
      <c r="E454" s="25"/>
      <c r="F454" s="25"/>
      <c r="G454" s="25"/>
      <c r="H454" s="26"/>
      <c r="I454" s="27"/>
      <c r="J454" s="25"/>
      <c r="K454" s="28"/>
      <c r="L454" s="17"/>
      <c r="M454" s="17"/>
      <c r="N454" s="9" t="str">
        <f t="shared" si="14"/>
        <v/>
      </c>
      <c r="O454" s="9" t="str">
        <f t="shared" si="15"/>
        <v/>
      </c>
      <c r="P454" s="18"/>
      <c r="Q454" s="17"/>
    </row>
    <row r="455" spans="1:17" ht="15" customHeight="1" x14ac:dyDescent="0.35">
      <c r="A455" s="29"/>
      <c r="B455" s="25"/>
      <c r="C455" s="25"/>
      <c r="D455" s="25"/>
      <c r="E455" s="25"/>
      <c r="F455" s="25"/>
      <c r="G455" s="25"/>
      <c r="H455" s="26"/>
      <c r="I455" s="27"/>
      <c r="J455" s="25"/>
      <c r="K455" s="28"/>
      <c r="L455" s="17"/>
      <c r="M455" s="17"/>
      <c r="N455" s="9" t="str">
        <f t="shared" si="14"/>
        <v/>
      </c>
      <c r="O455" s="9" t="str">
        <f t="shared" si="15"/>
        <v/>
      </c>
      <c r="P455" s="18"/>
      <c r="Q455" s="17"/>
    </row>
    <row r="456" spans="1:17" ht="15" customHeight="1" x14ac:dyDescent="0.35">
      <c r="A456" s="29"/>
      <c r="B456" s="25"/>
      <c r="C456" s="25"/>
      <c r="D456" s="25"/>
      <c r="E456" s="25"/>
      <c r="F456" s="25"/>
      <c r="G456" s="25"/>
      <c r="H456" s="26"/>
      <c r="I456" s="27"/>
      <c r="J456" s="25"/>
      <c r="K456" s="28"/>
      <c r="L456" s="17"/>
      <c r="M456" s="17"/>
      <c r="N456" s="9" t="str">
        <f t="shared" si="14"/>
        <v/>
      </c>
      <c r="O456" s="9" t="str">
        <f t="shared" si="15"/>
        <v/>
      </c>
      <c r="P456" s="18"/>
      <c r="Q456" s="17"/>
    </row>
    <row r="457" spans="1:17" ht="15" customHeight="1" x14ac:dyDescent="0.35">
      <c r="A457" s="29"/>
      <c r="B457" s="25"/>
      <c r="C457" s="25"/>
      <c r="D457" s="25"/>
      <c r="E457" s="25"/>
      <c r="F457" s="25"/>
      <c r="G457" s="25"/>
      <c r="H457" s="26"/>
      <c r="I457" s="27"/>
      <c r="J457" s="25"/>
      <c r="K457" s="28"/>
      <c r="L457" s="17"/>
      <c r="M457" s="17"/>
      <c r="N457" s="9" t="str">
        <f t="shared" si="14"/>
        <v/>
      </c>
      <c r="O457" s="9" t="str">
        <f t="shared" si="15"/>
        <v/>
      </c>
      <c r="P457" s="18"/>
      <c r="Q457" s="17"/>
    </row>
    <row r="458" spans="1:17" ht="15" customHeight="1" x14ac:dyDescent="0.35">
      <c r="A458" s="29"/>
      <c r="B458" s="25"/>
      <c r="C458" s="25"/>
      <c r="D458" s="25"/>
      <c r="E458" s="25"/>
      <c r="F458" s="25"/>
      <c r="G458" s="25"/>
      <c r="H458" s="26"/>
      <c r="I458" s="27"/>
      <c r="J458" s="25"/>
      <c r="K458" s="28"/>
      <c r="L458" s="17"/>
      <c r="M458" s="17"/>
      <c r="N458" s="9" t="str">
        <f t="shared" si="14"/>
        <v/>
      </c>
      <c r="O458" s="9" t="str">
        <f t="shared" si="15"/>
        <v/>
      </c>
      <c r="P458" s="18"/>
      <c r="Q458" s="17"/>
    </row>
    <row r="459" spans="1:17" ht="15" customHeight="1" x14ac:dyDescent="0.35">
      <c r="A459" s="29"/>
      <c r="B459" s="25"/>
      <c r="C459" s="25"/>
      <c r="D459" s="25"/>
      <c r="E459" s="25"/>
      <c r="F459" s="25"/>
      <c r="G459" s="25"/>
      <c r="H459" s="26"/>
      <c r="I459" s="27"/>
      <c r="J459" s="25"/>
      <c r="K459" s="28"/>
      <c r="L459" s="17"/>
      <c r="M459" s="17"/>
      <c r="N459" s="9" t="str">
        <f t="shared" si="14"/>
        <v/>
      </c>
      <c r="O459" s="9" t="str">
        <f t="shared" si="15"/>
        <v/>
      </c>
      <c r="P459" s="18"/>
      <c r="Q459" s="17"/>
    </row>
    <row r="460" spans="1:17" ht="15" customHeight="1" x14ac:dyDescent="0.35">
      <c r="A460" s="29"/>
      <c r="B460" s="25"/>
      <c r="C460" s="25"/>
      <c r="D460" s="25"/>
      <c r="E460" s="25"/>
      <c r="F460" s="25"/>
      <c r="G460" s="25"/>
      <c r="H460" s="26"/>
      <c r="I460" s="27"/>
      <c r="J460" s="25"/>
      <c r="K460" s="28"/>
      <c r="L460" s="17"/>
      <c r="M460" s="17"/>
      <c r="N460" s="9" t="str">
        <f t="shared" si="14"/>
        <v/>
      </c>
      <c r="O460" s="9" t="str">
        <f t="shared" si="15"/>
        <v/>
      </c>
      <c r="P460" s="18"/>
      <c r="Q460" s="17"/>
    </row>
    <row r="461" spans="1:17" ht="15" customHeight="1" x14ac:dyDescent="0.35">
      <c r="A461" s="29"/>
      <c r="B461" s="25"/>
      <c r="C461" s="25"/>
      <c r="D461" s="25"/>
      <c r="E461" s="25"/>
      <c r="F461" s="25"/>
      <c r="G461" s="25"/>
      <c r="H461" s="26"/>
      <c r="I461" s="27"/>
      <c r="J461" s="25"/>
      <c r="K461" s="28"/>
      <c r="L461" s="17"/>
      <c r="M461" s="17"/>
      <c r="N461" s="9" t="str">
        <f t="shared" si="14"/>
        <v/>
      </c>
      <c r="O461" s="9" t="str">
        <f t="shared" si="15"/>
        <v/>
      </c>
      <c r="P461" s="18"/>
      <c r="Q461" s="17"/>
    </row>
    <row r="462" spans="1:17" ht="15" customHeight="1" x14ac:dyDescent="0.35">
      <c r="A462" s="29"/>
      <c r="B462" s="25"/>
      <c r="C462" s="25"/>
      <c r="D462" s="25"/>
      <c r="E462" s="25"/>
      <c r="F462" s="25"/>
      <c r="G462" s="25"/>
      <c r="H462" s="26"/>
      <c r="I462" s="27"/>
      <c r="J462" s="25"/>
      <c r="K462" s="28"/>
      <c r="L462" s="17"/>
      <c r="M462" s="17"/>
      <c r="N462" s="9" t="str">
        <f t="shared" si="14"/>
        <v/>
      </c>
      <c r="O462" s="9" t="str">
        <f t="shared" si="15"/>
        <v/>
      </c>
      <c r="P462" s="18"/>
      <c r="Q462" s="17"/>
    </row>
    <row r="463" spans="1:17" ht="15" customHeight="1" x14ac:dyDescent="0.35">
      <c r="A463" s="29"/>
      <c r="B463" s="25"/>
      <c r="C463" s="25"/>
      <c r="D463" s="25"/>
      <c r="E463" s="25"/>
      <c r="F463" s="25"/>
      <c r="G463" s="25"/>
      <c r="H463" s="26"/>
      <c r="I463" s="27"/>
      <c r="J463" s="25"/>
      <c r="K463" s="28"/>
      <c r="L463" s="17"/>
      <c r="M463" s="17"/>
      <c r="N463" s="9" t="str">
        <f t="shared" si="14"/>
        <v/>
      </c>
      <c r="O463" s="9" t="str">
        <f t="shared" si="15"/>
        <v/>
      </c>
      <c r="P463" s="18"/>
      <c r="Q463" s="17"/>
    </row>
    <row r="464" spans="1:17" ht="15" customHeight="1" x14ac:dyDescent="0.35">
      <c r="A464" s="29"/>
      <c r="B464" s="25"/>
      <c r="C464" s="25"/>
      <c r="D464" s="25"/>
      <c r="E464" s="25"/>
      <c r="F464" s="25"/>
      <c r="G464" s="25"/>
      <c r="H464" s="26"/>
      <c r="I464" s="27"/>
      <c r="J464" s="25"/>
      <c r="K464" s="28"/>
      <c r="L464" s="17"/>
      <c r="M464" s="17"/>
      <c r="N464" s="9" t="str">
        <f t="shared" si="14"/>
        <v/>
      </c>
      <c r="O464" s="9" t="str">
        <f t="shared" si="15"/>
        <v/>
      </c>
      <c r="P464" s="18"/>
      <c r="Q464" s="17"/>
    </row>
    <row r="465" spans="1:17" ht="15" customHeight="1" x14ac:dyDescent="0.35">
      <c r="A465" s="29"/>
      <c r="B465" s="25"/>
      <c r="C465" s="25"/>
      <c r="D465" s="25"/>
      <c r="E465" s="25"/>
      <c r="F465" s="25"/>
      <c r="G465" s="25"/>
      <c r="H465" s="26"/>
      <c r="I465" s="27"/>
      <c r="J465" s="25"/>
      <c r="K465" s="28"/>
      <c r="L465" s="17"/>
      <c r="M465" s="17"/>
      <c r="N465" s="9" t="str">
        <f t="shared" si="14"/>
        <v/>
      </c>
      <c r="O465" s="9" t="str">
        <f t="shared" si="15"/>
        <v/>
      </c>
      <c r="P465" s="18"/>
      <c r="Q465" s="17"/>
    </row>
    <row r="466" spans="1:17" ht="15" customHeight="1" x14ac:dyDescent="0.35">
      <c r="A466" s="29"/>
      <c r="B466" s="25"/>
      <c r="C466" s="25"/>
      <c r="D466" s="25"/>
      <c r="E466" s="25"/>
      <c r="F466" s="25"/>
      <c r="G466" s="25"/>
      <c r="H466" s="26"/>
      <c r="I466" s="27"/>
      <c r="J466" s="25"/>
      <c r="K466" s="28"/>
      <c r="L466" s="17"/>
      <c r="M466" s="17"/>
      <c r="N466" s="9" t="str">
        <f t="shared" si="14"/>
        <v/>
      </c>
      <c r="O466" s="9" t="str">
        <f t="shared" si="15"/>
        <v/>
      </c>
      <c r="P466" s="18"/>
      <c r="Q466" s="17"/>
    </row>
    <row r="467" spans="1:17" ht="15" customHeight="1" x14ac:dyDescent="0.35">
      <c r="A467" s="29"/>
      <c r="B467" s="25"/>
      <c r="C467" s="25"/>
      <c r="D467" s="25"/>
      <c r="E467" s="25"/>
      <c r="F467" s="25"/>
      <c r="G467" s="25"/>
      <c r="H467" s="26"/>
      <c r="I467" s="27"/>
      <c r="J467" s="25"/>
      <c r="K467" s="28"/>
      <c r="L467" s="17"/>
      <c r="M467" s="17"/>
      <c r="N467" s="9" t="str">
        <f t="shared" si="14"/>
        <v/>
      </c>
      <c r="O467" s="9" t="str">
        <f t="shared" si="15"/>
        <v/>
      </c>
      <c r="P467" s="18"/>
      <c r="Q467" s="17"/>
    </row>
    <row r="468" spans="1:17" ht="15" customHeight="1" x14ac:dyDescent="0.35">
      <c r="A468" s="29"/>
      <c r="B468" s="25"/>
      <c r="C468" s="25"/>
      <c r="D468" s="25"/>
      <c r="E468" s="25"/>
      <c r="F468" s="25"/>
      <c r="G468" s="25"/>
      <c r="H468" s="26"/>
      <c r="I468" s="27"/>
      <c r="J468" s="25"/>
      <c r="K468" s="28"/>
      <c r="L468" s="17"/>
      <c r="M468" s="17"/>
      <c r="N468" s="9" t="str">
        <f t="shared" si="14"/>
        <v/>
      </c>
      <c r="O468" s="9" t="str">
        <f t="shared" si="15"/>
        <v/>
      </c>
      <c r="P468" s="18"/>
      <c r="Q468" s="17"/>
    </row>
    <row r="469" spans="1:17" ht="15" customHeight="1" x14ac:dyDescent="0.35">
      <c r="A469" s="29"/>
      <c r="B469" s="25"/>
      <c r="C469" s="25"/>
      <c r="D469" s="25"/>
      <c r="E469" s="25"/>
      <c r="F469" s="25"/>
      <c r="G469" s="25"/>
      <c r="H469" s="26"/>
      <c r="I469" s="27"/>
      <c r="J469" s="25"/>
      <c r="K469" s="28"/>
      <c r="L469" s="17"/>
      <c r="M469" s="17"/>
      <c r="N469" s="9" t="str">
        <f t="shared" si="14"/>
        <v/>
      </c>
      <c r="O469" s="9" t="str">
        <f t="shared" si="15"/>
        <v/>
      </c>
      <c r="P469" s="18"/>
      <c r="Q469" s="17"/>
    </row>
    <row r="470" spans="1:17" ht="15" customHeight="1" x14ac:dyDescent="0.35">
      <c r="A470" s="29"/>
      <c r="B470" s="25"/>
      <c r="C470" s="25"/>
      <c r="D470" s="25"/>
      <c r="E470" s="25"/>
      <c r="F470" s="25"/>
      <c r="G470" s="25"/>
      <c r="H470" s="26"/>
      <c r="I470" s="27"/>
      <c r="J470" s="25"/>
      <c r="K470" s="28"/>
      <c r="L470" s="17"/>
      <c r="M470" s="17"/>
      <c r="N470" s="9" t="str">
        <f t="shared" si="14"/>
        <v/>
      </c>
      <c r="O470" s="9" t="str">
        <f t="shared" si="15"/>
        <v/>
      </c>
      <c r="P470" s="18"/>
      <c r="Q470" s="17"/>
    </row>
    <row r="471" spans="1:17" ht="15" customHeight="1" x14ac:dyDescent="0.35">
      <c r="A471" s="29"/>
      <c r="B471" s="25"/>
      <c r="C471" s="25"/>
      <c r="D471" s="25"/>
      <c r="E471" s="25"/>
      <c r="F471" s="25"/>
      <c r="G471" s="25"/>
      <c r="H471" s="26"/>
      <c r="I471" s="27"/>
      <c r="J471" s="25"/>
      <c r="K471" s="28"/>
      <c r="L471" s="17"/>
      <c r="M471" s="17"/>
      <c r="N471" s="9" t="str">
        <f t="shared" si="14"/>
        <v/>
      </c>
      <c r="O471" s="9" t="str">
        <f t="shared" si="15"/>
        <v/>
      </c>
      <c r="P471" s="18"/>
      <c r="Q471" s="17"/>
    </row>
    <row r="472" spans="1:17" ht="15" customHeight="1" x14ac:dyDescent="0.35">
      <c r="A472" s="29"/>
      <c r="B472" s="25"/>
      <c r="C472" s="25"/>
      <c r="D472" s="25"/>
      <c r="E472" s="25"/>
      <c r="F472" s="25"/>
      <c r="G472" s="25"/>
      <c r="H472" s="26"/>
      <c r="I472" s="27"/>
      <c r="J472" s="25"/>
      <c r="K472" s="28"/>
      <c r="L472" s="17"/>
      <c r="M472" s="17"/>
      <c r="N472" s="9" t="str">
        <f t="shared" si="14"/>
        <v/>
      </c>
      <c r="O472" s="9" t="str">
        <f t="shared" si="15"/>
        <v/>
      </c>
      <c r="P472" s="18"/>
      <c r="Q472" s="17"/>
    </row>
    <row r="473" spans="1:17" ht="15" customHeight="1" x14ac:dyDescent="0.35">
      <c r="A473" s="29"/>
      <c r="B473" s="25"/>
      <c r="C473" s="25"/>
      <c r="D473" s="25"/>
      <c r="E473" s="25"/>
      <c r="F473" s="25"/>
      <c r="G473" s="25"/>
      <c r="H473" s="26"/>
      <c r="I473" s="27"/>
      <c r="J473" s="25"/>
      <c r="K473" s="28"/>
      <c r="L473" s="17"/>
      <c r="M473" s="17"/>
      <c r="N473" s="9" t="str">
        <f t="shared" si="14"/>
        <v/>
      </c>
      <c r="O473" s="9" t="str">
        <f t="shared" si="15"/>
        <v/>
      </c>
      <c r="P473" s="18"/>
      <c r="Q473" s="17"/>
    </row>
    <row r="474" spans="1:17" ht="15" customHeight="1" x14ac:dyDescent="0.35">
      <c r="A474" s="29"/>
      <c r="B474" s="25"/>
      <c r="C474" s="25"/>
      <c r="D474" s="25"/>
      <c r="E474" s="25"/>
      <c r="F474" s="25"/>
      <c r="G474" s="25"/>
      <c r="H474" s="26"/>
      <c r="I474" s="27"/>
      <c r="J474" s="25"/>
      <c r="K474" s="28"/>
      <c r="L474" s="17"/>
      <c r="M474" s="17"/>
      <c r="N474" s="9" t="str">
        <f t="shared" si="14"/>
        <v/>
      </c>
      <c r="O474" s="9" t="str">
        <f t="shared" si="15"/>
        <v/>
      </c>
      <c r="P474" s="18"/>
      <c r="Q474" s="17"/>
    </row>
    <row r="475" spans="1:17" ht="15" customHeight="1" x14ac:dyDescent="0.35">
      <c r="A475" s="29"/>
      <c r="B475" s="25"/>
      <c r="C475" s="25"/>
      <c r="D475" s="25"/>
      <c r="E475" s="25"/>
      <c r="F475" s="25"/>
      <c r="G475" s="25"/>
      <c r="H475" s="26"/>
      <c r="I475" s="27"/>
      <c r="J475" s="25"/>
      <c r="K475" s="28"/>
      <c r="L475" s="17"/>
      <c r="M475" s="17"/>
      <c r="N475" s="9" t="str">
        <f t="shared" si="14"/>
        <v/>
      </c>
      <c r="O475" s="9" t="str">
        <f t="shared" si="15"/>
        <v/>
      </c>
      <c r="P475" s="18"/>
      <c r="Q475" s="17"/>
    </row>
    <row r="476" spans="1:17" ht="15" customHeight="1" x14ac:dyDescent="0.35">
      <c r="A476" s="29"/>
      <c r="B476" s="25"/>
      <c r="C476" s="25"/>
      <c r="D476" s="25"/>
      <c r="E476" s="25"/>
      <c r="F476" s="25"/>
      <c r="G476" s="25"/>
      <c r="H476" s="26"/>
      <c r="I476" s="27"/>
      <c r="J476" s="25"/>
      <c r="K476" s="28"/>
      <c r="L476" s="17"/>
      <c r="M476" s="17"/>
      <c r="N476" s="9" t="str">
        <f t="shared" si="14"/>
        <v/>
      </c>
      <c r="O476" s="9" t="str">
        <f t="shared" si="15"/>
        <v/>
      </c>
      <c r="P476" s="18"/>
      <c r="Q476" s="17"/>
    </row>
    <row r="477" spans="1:17" ht="15" customHeight="1" x14ac:dyDescent="0.35">
      <c r="A477" s="29"/>
      <c r="B477" s="25"/>
      <c r="C477" s="25"/>
      <c r="D477" s="25"/>
      <c r="E477" s="25"/>
      <c r="F477" s="25"/>
      <c r="G477" s="25"/>
      <c r="H477" s="26"/>
      <c r="I477" s="27"/>
      <c r="J477" s="25"/>
      <c r="K477" s="28"/>
      <c r="L477" s="17"/>
      <c r="M477" s="17"/>
      <c r="N477" s="9" t="str">
        <f t="shared" si="14"/>
        <v/>
      </c>
      <c r="O477" s="9" t="str">
        <f t="shared" si="15"/>
        <v/>
      </c>
      <c r="P477" s="18"/>
      <c r="Q477" s="17"/>
    </row>
    <row r="478" spans="1:17" ht="15" customHeight="1" x14ac:dyDescent="0.35">
      <c r="A478" s="29"/>
      <c r="B478" s="25"/>
      <c r="C478" s="25"/>
      <c r="D478" s="25"/>
      <c r="E478" s="25"/>
      <c r="F478" s="25"/>
      <c r="G478" s="25"/>
      <c r="H478" s="26"/>
      <c r="I478" s="27"/>
      <c r="J478" s="25"/>
      <c r="K478" s="28"/>
      <c r="L478" s="17"/>
      <c r="M478" s="17"/>
      <c r="N478" s="9" t="str">
        <f t="shared" si="14"/>
        <v/>
      </c>
      <c r="O478" s="9" t="str">
        <f t="shared" si="15"/>
        <v/>
      </c>
      <c r="P478" s="18"/>
      <c r="Q478" s="17"/>
    </row>
    <row r="479" spans="1:17" ht="15" customHeight="1" x14ac:dyDescent="0.35">
      <c r="A479" s="29"/>
      <c r="B479" s="25"/>
      <c r="C479" s="25"/>
      <c r="D479" s="25"/>
      <c r="E479" s="25"/>
      <c r="F479" s="25"/>
      <c r="G479" s="25"/>
      <c r="H479" s="26"/>
      <c r="I479" s="27"/>
      <c r="J479" s="25"/>
      <c r="K479" s="28"/>
      <c r="L479" s="17"/>
      <c r="M479" s="17"/>
      <c r="N479" s="9" t="str">
        <f t="shared" si="14"/>
        <v/>
      </c>
      <c r="O479" s="9" t="str">
        <f t="shared" si="15"/>
        <v/>
      </c>
      <c r="P479" s="18"/>
      <c r="Q479" s="17"/>
    </row>
    <row r="480" spans="1:17" ht="15" customHeight="1" x14ac:dyDescent="0.35">
      <c r="A480" s="29"/>
      <c r="B480" s="25"/>
      <c r="C480" s="25"/>
      <c r="D480" s="25"/>
      <c r="E480" s="25"/>
      <c r="F480" s="25"/>
      <c r="G480" s="25"/>
      <c r="H480" s="26"/>
      <c r="I480" s="27"/>
      <c r="J480" s="25"/>
      <c r="K480" s="28"/>
      <c r="L480" s="17"/>
      <c r="M480" s="17"/>
      <c r="N480" s="9" t="str">
        <f t="shared" si="14"/>
        <v/>
      </c>
      <c r="O480" s="9" t="str">
        <f t="shared" si="15"/>
        <v/>
      </c>
      <c r="P480" s="18"/>
      <c r="Q480" s="17"/>
    </row>
    <row r="481" spans="1:17" ht="15" customHeight="1" x14ac:dyDescent="0.35">
      <c r="A481" s="29"/>
      <c r="B481" s="25"/>
      <c r="C481" s="25"/>
      <c r="D481" s="25"/>
      <c r="E481" s="25"/>
      <c r="F481" s="25"/>
      <c r="G481" s="25"/>
      <c r="H481" s="26"/>
      <c r="I481" s="27"/>
      <c r="J481" s="25"/>
      <c r="K481" s="28"/>
      <c r="L481" s="17"/>
      <c r="M481" s="17"/>
      <c r="N481" s="9" t="str">
        <f t="shared" si="14"/>
        <v/>
      </c>
      <c r="O481" s="9" t="str">
        <f t="shared" si="15"/>
        <v/>
      </c>
      <c r="P481" s="18"/>
      <c r="Q481" s="17"/>
    </row>
    <row r="482" spans="1:17" ht="15" customHeight="1" x14ac:dyDescent="0.35">
      <c r="A482" s="29"/>
      <c r="B482" s="25"/>
      <c r="C482" s="25"/>
      <c r="D482" s="25"/>
      <c r="E482" s="25"/>
      <c r="F482" s="25"/>
      <c r="G482" s="25"/>
      <c r="H482" s="26"/>
      <c r="I482" s="27"/>
      <c r="J482" s="25"/>
      <c r="K482" s="28"/>
      <c r="L482" s="17"/>
      <c r="M482" s="17"/>
      <c r="N482" s="9" t="str">
        <f t="shared" si="14"/>
        <v/>
      </c>
      <c r="O482" s="9" t="str">
        <f t="shared" si="15"/>
        <v/>
      </c>
      <c r="P482" s="18"/>
      <c r="Q482" s="17"/>
    </row>
    <row r="483" spans="1:17" ht="15" customHeight="1" x14ac:dyDescent="0.35">
      <c r="A483" s="29"/>
      <c r="B483" s="25"/>
      <c r="C483" s="25"/>
      <c r="D483" s="25"/>
      <c r="E483" s="25"/>
      <c r="F483" s="25"/>
      <c r="G483" s="25"/>
      <c r="H483" s="26"/>
      <c r="I483" s="27"/>
      <c r="J483" s="25"/>
      <c r="K483" s="28"/>
      <c r="L483" s="17"/>
      <c r="M483" s="17"/>
      <c r="N483" s="9" t="str">
        <f t="shared" si="14"/>
        <v/>
      </c>
      <c r="O483" s="9" t="str">
        <f t="shared" si="15"/>
        <v/>
      </c>
      <c r="P483" s="18"/>
      <c r="Q483" s="17"/>
    </row>
    <row r="484" spans="1:17" ht="15" customHeight="1" x14ac:dyDescent="0.35">
      <c r="A484" s="29"/>
      <c r="B484" s="25"/>
      <c r="C484" s="25"/>
      <c r="D484" s="25"/>
      <c r="E484" s="25"/>
      <c r="F484" s="25"/>
      <c r="G484" s="25"/>
      <c r="H484" s="26"/>
      <c r="I484" s="27"/>
      <c r="J484" s="25"/>
      <c r="K484" s="28"/>
      <c r="L484" s="17"/>
      <c r="M484" s="17"/>
      <c r="N484" s="9" t="str">
        <f t="shared" si="14"/>
        <v/>
      </c>
      <c r="O484" s="9" t="str">
        <f t="shared" si="15"/>
        <v/>
      </c>
      <c r="P484" s="18"/>
      <c r="Q484" s="17"/>
    </row>
    <row r="485" spans="1:17" ht="15" customHeight="1" x14ac:dyDescent="0.35">
      <c r="A485" s="29"/>
      <c r="B485" s="25"/>
      <c r="C485" s="25"/>
      <c r="D485" s="25"/>
      <c r="E485" s="25"/>
      <c r="F485" s="25"/>
      <c r="G485" s="25"/>
      <c r="H485" s="26"/>
      <c r="I485" s="27"/>
      <c r="J485" s="25"/>
      <c r="K485" s="28"/>
      <c r="L485" s="17"/>
      <c r="M485" s="17"/>
      <c r="N485" s="9" t="str">
        <f t="shared" si="14"/>
        <v/>
      </c>
      <c r="O485" s="9" t="str">
        <f t="shared" si="15"/>
        <v/>
      </c>
      <c r="P485" s="18"/>
      <c r="Q485" s="17"/>
    </row>
    <row r="486" spans="1:17" ht="15" customHeight="1" x14ac:dyDescent="0.35">
      <c r="A486" s="29"/>
      <c r="B486" s="25"/>
      <c r="C486" s="25"/>
      <c r="D486" s="25"/>
      <c r="E486" s="25"/>
      <c r="F486" s="25"/>
      <c r="G486" s="25"/>
      <c r="H486" s="26"/>
      <c r="I486" s="27"/>
      <c r="J486" s="25"/>
      <c r="K486" s="28"/>
      <c r="L486" s="17"/>
      <c r="M486" s="17"/>
      <c r="N486" s="9" t="str">
        <f t="shared" si="14"/>
        <v/>
      </c>
      <c r="O486" s="9" t="str">
        <f t="shared" si="15"/>
        <v/>
      </c>
      <c r="P486" s="18"/>
      <c r="Q486" s="17"/>
    </row>
    <row r="487" spans="1:17" ht="15" customHeight="1" x14ac:dyDescent="0.35">
      <c r="A487" s="29"/>
      <c r="B487" s="25"/>
      <c r="C487" s="25"/>
      <c r="D487" s="25"/>
      <c r="E487" s="25"/>
      <c r="F487" s="25"/>
      <c r="G487" s="25"/>
      <c r="H487" s="26"/>
      <c r="I487" s="27"/>
      <c r="J487" s="25"/>
      <c r="K487" s="28"/>
      <c r="L487" s="17"/>
      <c r="M487" s="17"/>
      <c r="N487" s="9" t="str">
        <f t="shared" si="14"/>
        <v/>
      </c>
      <c r="O487" s="9" t="str">
        <f t="shared" si="15"/>
        <v/>
      </c>
      <c r="P487" s="18"/>
      <c r="Q487" s="17"/>
    </row>
    <row r="488" spans="1:17" ht="15" customHeight="1" x14ac:dyDescent="0.35">
      <c r="A488" s="29"/>
      <c r="B488" s="25"/>
      <c r="C488" s="25"/>
      <c r="D488" s="25"/>
      <c r="E488" s="25"/>
      <c r="F488" s="25"/>
      <c r="G488" s="25"/>
      <c r="H488" s="26"/>
      <c r="I488" s="27"/>
      <c r="J488" s="25"/>
      <c r="K488" s="28"/>
      <c r="L488" s="17"/>
      <c r="M488" s="17"/>
      <c r="N488" s="9" t="str">
        <f t="shared" si="14"/>
        <v/>
      </c>
      <c r="O488" s="9" t="str">
        <f t="shared" si="15"/>
        <v/>
      </c>
      <c r="P488" s="18"/>
      <c r="Q488" s="17"/>
    </row>
    <row r="489" spans="1:17" ht="15" customHeight="1" x14ac:dyDescent="0.35">
      <c r="A489" s="29"/>
      <c r="B489" s="25"/>
      <c r="C489" s="25"/>
      <c r="D489" s="25"/>
      <c r="E489" s="25"/>
      <c r="F489" s="25"/>
      <c r="G489" s="25"/>
      <c r="H489" s="26"/>
      <c r="I489" s="27"/>
      <c r="J489" s="25"/>
      <c r="K489" s="28"/>
      <c r="L489" s="17"/>
      <c r="M489" s="17"/>
      <c r="N489" s="9" t="str">
        <f t="shared" si="14"/>
        <v/>
      </c>
      <c r="O489" s="9" t="str">
        <f t="shared" si="15"/>
        <v/>
      </c>
      <c r="P489" s="18"/>
      <c r="Q489" s="17"/>
    </row>
    <row r="490" spans="1:17" ht="15" customHeight="1" x14ac:dyDescent="0.35">
      <c r="A490" s="29"/>
      <c r="B490" s="25"/>
      <c r="C490" s="25"/>
      <c r="D490" s="25"/>
      <c r="E490" s="25"/>
      <c r="F490" s="25"/>
      <c r="G490" s="25"/>
      <c r="H490" s="26"/>
      <c r="I490" s="27"/>
      <c r="J490" s="25"/>
      <c r="K490" s="28"/>
      <c r="L490" s="17"/>
      <c r="M490" s="17"/>
      <c r="N490" s="9" t="str">
        <f t="shared" si="14"/>
        <v/>
      </c>
      <c r="O490" s="9" t="str">
        <f t="shared" si="15"/>
        <v/>
      </c>
      <c r="P490" s="18"/>
      <c r="Q490" s="17"/>
    </row>
    <row r="491" spans="1:17" ht="15" customHeight="1" x14ac:dyDescent="0.35">
      <c r="A491" s="29"/>
      <c r="B491" s="25"/>
      <c r="C491" s="25"/>
      <c r="D491" s="25"/>
      <c r="E491" s="25"/>
      <c r="F491" s="25"/>
      <c r="G491" s="25"/>
      <c r="H491" s="26"/>
      <c r="I491" s="27"/>
      <c r="J491" s="25"/>
      <c r="K491" s="28"/>
      <c r="L491" s="17"/>
      <c r="M491" s="17"/>
      <c r="N491" s="9" t="str">
        <f t="shared" si="14"/>
        <v/>
      </c>
      <c r="O491" s="9" t="str">
        <f t="shared" si="15"/>
        <v/>
      </c>
      <c r="P491" s="18"/>
      <c r="Q491" s="17"/>
    </row>
    <row r="492" spans="1:17" ht="15" customHeight="1" x14ac:dyDescent="0.35">
      <c r="A492" s="29"/>
      <c r="B492" s="25"/>
      <c r="C492" s="25"/>
      <c r="D492" s="25"/>
      <c r="E492" s="25"/>
      <c r="F492" s="25"/>
      <c r="G492" s="25"/>
      <c r="H492" s="26"/>
      <c r="I492" s="27"/>
      <c r="J492" s="25"/>
      <c r="K492" s="28"/>
      <c r="L492" s="17"/>
      <c r="M492" s="17"/>
      <c r="N492" s="9" t="str">
        <f t="shared" si="14"/>
        <v/>
      </c>
      <c r="O492" s="9" t="str">
        <f t="shared" si="15"/>
        <v/>
      </c>
      <c r="P492" s="18"/>
      <c r="Q492" s="17"/>
    </row>
    <row r="493" spans="1:17" ht="15" customHeight="1" x14ac:dyDescent="0.35">
      <c r="A493" s="29"/>
      <c r="B493" s="25"/>
      <c r="C493" s="25"/>
      <c r="D493" s="25"/>
      <c r="E493" s="25"/>
      <c r="F493" s="25"/>
      <c r="G493" s="25"/>
      <c r="H493" s="26"/>
      <c r="I493" s="27"/>
      <c r="J493" s="25"/>
      <c r="K493" s="28"/>
      <c r="L493" s="17"/>
      <c r="M493" s="17"/>
      <c r="N493" s="9" t="str">
        <f t="shared" si="14"/>
        <v/>
      </c>
      <c r="O493" s="9" t="str">
        <f t="shared" si="15"/>
        <v/>
      </c>
      <c r="P493" s="18"/>
      <c r="Q493" s="17"/>
    </row>
    <row r="494" spans="1:17" ht="15" customHeight="1" x14ac:dyDescent="0.35">
      <c r="A494" s="29"/>
      <c r="B494" s="25"/>
      <c r="C494" s="25"/>
      <c r="D494" s="25"/>
      <c r="E494" s="25"/>
      <c r="F494" s="25"/>
      <c r="G494" s="25"/>
      <c r="H494" s="26"/>
      <c r="I494" s="27"/>
      <c r="J494" s="25"/>
      <c r="K494" s="28"/>
      <c r="L494" s="17"/>
      <c r="M494" s="17"/>
      <c r="N494" s="9" t="str">
        <f t="shared" si="14"/>
        <v/>
      </c>
      <c r="O494" s="9" t="str">
        <f t="shared" si="15"/>
        <v/>
      </c>
      <c r="P494" s="18"/>
      <c r="Q494" s="17"/>
    </row>
    <row r="495" spans="1:17" ht="15" customHeight="1" x14ac:dyDescent="0.35">
      <c r="A495" s="29"/>
      <c r="B495" s="25"/>
      <c r="C495" s="25"/>
      <c r="D495" s="25"/>
      <c r="E495" s="25"/>
      <c r="F495" s="25"/>
      <c r="G495" s="25"/>
      <c r="H495" s="26"/>
      <c r="I495" s="27"/>
      <c r="J495" s="25"/>
      <c r="K495" s="28"/>
      <c r="L495" s="17"/>
      <c r="M495" s="17"/>
      <c r="N495" s="9" t="str">
        <f t="shared" si="14"/>
        <v/>
      </c>
      <c r="O495" s="9" t="str">
        <f t="shared" si="15"/>
        <v/>
      </c>
      <c r="P495" s="18"/>
      <c r="Q495" s="17"/>
    </row>
    <row r="496" spans="1:17" ht="15" customHeight="1" x14ac:dyDescent="0.35">
      <c r="A496" s="29"/>
      <c r="B496" s="25"/>
      <c r="C496" s="25"/>
      <c r="D496" s="25"/>
      <c r="E496" s="25"/>
      <c r="F496" s="25"/>
      <c r="G496" s="25"/>
      <c r="H496" s="26"/>
      <c r="I496" s="27"/>
      <c r="J496" s="25"/>
      <c r="K496" s="28"/>
      <c r="L496" s="17"/>
      <c r="M496" s="17"/>
      <c r="N496" s="9" t="str">
        <f t="shared" si="14"/>
        <v/>
      </c>
      <c r="O496" s="9" t="str">
        <f t="shared" si="15"/>
        <v/>
      </c>
      <c r="P496" s="18"/>
      <c r="Q496" s="17"/>
    </row>
    <row r="497" spans="1:17" ht="15" customHeight="1" x14ac:dyDescent="0.35">
      <c r="A497" s="29"/>
      <c r="B497" s="25"/>
      <c r="C497" s="25"/>
      <c r="D497" s="25"/>
      <c r="E497" s="25"/>
      <c r="F497" s="25"/>
      <c r="G497" s="25"/>
      <c r="H497" s="26"/>
      <c r="I497" s="27"/>
      <c r="J497" s="25"/>
      <c r="K497" s="28"/>
      <c r="L497" s="17"/>
      <c r="M497" s="17"/>
      <c r="N497" s="9" t="str">
        <f t="shared" si="14"/>
        <v/>
      </c>
      <c r="O497" s="9" t="str">
        <f t="shared" si="15"/>
        <v/>
      </c>
      <c r="P497" s="18"/>
      <c r="Q497" s="17"/>
    </row>
    <row r="498" spans="1:17" ht="15" customHeight="1" x14ac:dyDescent="0.35">
      <c r="A498" s="29"/>
      <c r="B498" s="25"/>
      <c r="C498" s="25"/>
      <c r="D498" s="25"/>
      <c r="E498" s="25"/>
      <c r="F498" s="25"/>
      <c r="G498" s="25"/>
      <c r="H498" s="26"/>
      <c r="I498" s="27"/>
      <c r="J498" s="25"/>
      <c r="K498" s="28"/>
      <c r="L498" s="17"/>
      <c r="M498" s="17"/>
      <c r="N498" s="9" t="str">
        <f t="shared" si="14"/>
        <v/>
      </c>
      <c r="O498" s="9" t="str">
        <f t="shared" si="15"/>
        <v/>
      </c>
      <c r="P498" s="18"/>
      <c r="Q498" s="17"/>
    </row>
    <row r="499" spans="1:17" ht="15" customHeight="1" x14ac:dyDescent="0.35">
      <c r="A499" s="29"/>
      <c r="B499" s="25"/>
      <c r="C499" s="25"/>
      <c r="D499" s="25"/>
      <c r="E499" s="25"/>
      <c r="F499" s="25"/>
      <c r="G499" s="25"/>
      <c r="H499" s="26"/>
      <c r="I499" s="27"/>
      <c r="J499" s="25"/>
      <c r="K499" s="28"/>
      <c r="L499" s="17"/>
      <c r="M499" s="17"/>
      <c r="N499" s="9" t="str">
        <f t="shared" si="14"/>
        <v/>
      </c>
      <c r="O499" s="9" t="str">
        <f t="shared" si="15"/>
        <v/>
      </c>
      <c r="P499" s="18"/>
      <c r="Q499" s="17"/>
    </row>
    <row r="500" spans="1:17" ht="15" customHeight="1" x14ac:dyDescent="0.35">
      <c r="A500" s="29"/>
      <c r="B500" s="25"/>
      <c r="C500" s="25"/>
      <c r="D500" s="25"/>
      <c r="E500" s="25"/>
      <c r="F500" s="25"/>
      <c r="G500" s="25"/>
      <c r="H500" s="26"/>
      <c r="I500" s="27"/>
      <c r="J500" s="25"/>
      <c r="K500" s="28"/>
      <c r="L500" s="17"/>
      <c r="M500" s="17"/>
      <c r="N500" s="9" t="str">
        <f t="shared" si="14"/>
        <v/>
      </c>
      <c r="O500" s="9" t="str">
        <f t="shared" si="15"/>
        <v/>
      </c>
      <c r="P500" s="18"/>
      <c r="Q500" s="17"/>
    </row>
    <row r="501" spans="1:17" ht="15" customHeight="1" x14ac:dyDescent="0.35">
      <c r="A501" s="29"/>
      <c r="B501" s="25"/>
      <c r="C501" s="25"/>
      <c r="D501" s="25"/>
      <c r="E501" s="25"/>
      <c r="F501" s="25"/>
      <c r="G501" s="25"/>
      <c r="H501" s="26"/>
      <c r="I501" s="27"/>
      <c r="J501" s="25"/>
      <c r="K501" s="28"/>
      <c r="L501" s="17"/>
      <c r="M501" s="17"/>
      <c r="N501" s="9" t="str">
        <f t="shared" si="14"/>
        <v/>
      </c>
      <c r="O501" s="9" t="str">
        <f t="shared" si="15"/>
        <v/>
      </c>
      <c r="P501" s="18"/>
      <c r="Q501" s="17"/>
    </row>
  </sheetData>
  <conditionalFormatting sqref="M2:M1000">
    <cfRule type="cellIs" dxfId="3" priority="4" operator="equal">
      <formula>"W"</formula>
    </cfRule>
    <cfRule type="cellIs" dxfId="2" priority="5" operator="equal">
      <formula>"L"</formula>
    </cfRule>
  </conditionalFormatting>
  <conditionalFormatting sqref="N2:N1000">
    <cfRule type="cellIs" dxfId="1" priority="2" operator="greaterThan">
      <formula>0</formula>
    </cfRule>
    <cfRule type="cellIs" dxfId="0" priority="3" operator="lessThan">
      <formula>0</formula>
    </cfRule>
  </conditionalFormatting>
  <dataValidations count="5">
    <dataValidation type="list" allowBlank="1" error="Pick a sport" prompt="Select sport" sqref="B2:B1000" xr:uid="{00000000-0002-0000-0100-000000000000}">
      <formula1>"NBA,NCAAB,NHL,MLB,NFL,NCAAF,WNBA,Tennis"</formula1>
      <formula2>0</formula2>
    </dataValidation>
    <dataValidation type="list" allowBlank="1" error="Pick bet type" sqref="F2:F1000" xr:uid="{00000000-0002-0000-0100-000001000000}">
      <formula1>"ML,Spread,Total,Prop"</formula1>
      <formula2>0</formula2>
    </dataValidation>
    <dataValidation type="list" allowBlank="1" error="W, L, Push, or Void" sqref="M2:M1000" xr:uid="{00000000-0002-0000-0100-000002000000}">
      <formula1>"W,L,Push,Void"</formula1>
      <formula2>0</formula2>
    </dataValidation>
    <dataValidation type="list" allowBlank="1" sqref="J2:J1000" xr:uid="{00000000-0002-0000-0100-000003000000}">
      <formula1>"A+,A,B+,B,C+,C,D"</formula1>
      <formula2>0</formula2>
    </dataValidation>
    <dataValidation type="list" allowBlank="1" sqref="L2:L1000" xr:uid="{00000000-0002-0000-0100-000004000000}">
      <formula1>"DraftKings,FanDuel,BetMGM,ESPN BET,BetRivers,Caesars,Fanatics,Polymarket,Other"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500F9"/>
  </sheetPr>
  <dimension ref="A1:M34"/>
  <sheetViews>
    <sheetView zoomScaleNormal="100" workbookViewId="0">
      <selection activeCell="C20" sqref="C20"/>
    </sheetView>
  </sheetViews>
  <sheetFormatPr defaultColWidth="8.6328125" defaultRowHeight="14.5" x14ac:dyDescent="0.35"/>
  <cols>
    <col min="1" max="1" width="2" customWidth="1"/>
    <col min="2" max="2" width="20" customWidth="1"/>
    <col min="3" max="3" width="10" customWidth="1"/>
    <col min="4" max="7" width="14" customWidth="1"/>
  </cols>
  <sheetData>
    <row r="1" spans="1:13" ht="1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9.5" customHeight="1" x14ac:dyDescent="0.4">
      <c r="A2" s="1"/>
      <c r="B2" s="2" t="s">
        <v>54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" customHeight="1" x14ac:dyDescent="0.35">
      <c r="A4" s="1"/>
      <c r="B4" s="4" t="s">
        <v>55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75" customHeight="1" x14ac:dyDescent="0.35">
      <c r="A5" s="1"/>
      <c r="B5" s="3" t="s">
        <v>56</v>
      </c>
      <c r="C5" s="1"/>
      <c r="D5" s="19">
        <f>MAX(Streaks!A:A)</f>
        <v>2</v>
      </c>
      <c r="E5" s="1"/>
      <c r="F5" s="1"/>
      <c r="G5" s="1"/>
      <c r="H5" s="1"/>
      <c r="I5" s="1"/>
      <c r="J5" s="1"/>
      <c r="K5" s="1"/>
      <c r="L5" s="1"/>
      <c r="M5" s="1"/>
    </row>
    <row r="6" spans="1:13" ht="15.75" customHeight="1" x14ac:dyDescent="0.35">
      <c r="A6" s="1"/>
      <c r="B6" s="3" t="s">
        <v>57</v>
      </c>
      <c r="C6" s="1"/>
      <c r="D6" s="19">
        <f>MAX(Streaks!B:B)</f>
        <v>3</v>
      </c>
      <c r="E6" s="1"/>
      <c r="F6" s="1"/>
      <c r="G6" s="1"/>
      <c r="H6" s="1"/>
      <c r="I6" s="1"/>
      <c r="J6" s="1"/>
      <c r="K6" s="1"/>
      <c r="L6" s="1"/>
      <c r="M6" s="1"/>
    </row>
    <row r="7" spans="1:13" ht="15.75" customHeight="1" x14ac:dyDescent="0.35">
      <c r="A7" s="1"/>
      <c r="B7" s="3" t="s">
        <v>58</v>
      </c>
      <c r="C7" s="1"/>
      <c r="D7" s="19">
        <f>IF(COUNTA('Bet Log'!K2:K1000)=0,"-",AVERAGE('Bet Log'!K2:K1000))</f>
        <v>74.764705882352942</v>
      </c>
      <c r="E7" s="1"/>
      <c r="F7" s="1"/>
      <c r="G7" s="1"/>
      <c r="H7" s="1"/>
      <c r="I7" s="1"/>
      <c r="J7" s="1"/>
      <c r="K7" s="1"/>
      <c r="L7" s="1"/>
      <c r="M7" s="1"/>
    </row>
    <row r="8" spans="1:13" ht="15.75" customHeight="1" x14ac:dyDescent="0.35">
      <c r="A8" s="1"/>
      <c r="B8" s="3" t="s">
        <v>59</v>
      </c>
      <c r="C8" s="1"/>
      <c r="D8" s="19">
        <f>IF(COUNTA('Bet Log'!N2:N1000)=0,"-",MAX('Bet Log'!N2:N1000))</f>
        <v>333.9</v>
      </c>
      <c r="E8" s="1"/>
      <c r="F8" s="1"/>
      <c r="G8" s="1"/>
      <c r="H8" s="1"/>
      <c r="I8" s="1"/>
      <c r="J8" s="1"/>
      <c r="K8" s="1"/>
      <c r="L8" s="1"/>
      <c r="M8" s="1"/>
    </row>
    <row r="9" spans="1:13" ht="15.75" customHeight="1" x14ac:dyDescent="0.35">
      <c r="A9" s="1"/>
      <c r="B9" s="3" t="s">
        <v>60</v>
      </c>
      <c r="C9" s="1"/>
      <c r="D9" s="19">
        <f>IF(COUNTA('Bet Log'!N2:N1000)=0,"-",MIN('Bet Log'!N2:N1000))</f>
        <v>-119</v>
      </c>
      <c r="E9" s="1"/>
      <c r="F9" s="1"/>
      <c r="G9" s="1"/>
      <c r="H9" s="1"/>
      <c r="I9" s="1"/>
      <c r="J9" s="1"/>
      <c r="K9" s="1"/>
      <c r="L9" s="1"/>
      <c r="M9" s="1"/>
    </row>
    <row r="10" spans="1:13" ht="15.75" customHeight="1" x14ac:dyDescent="0.35">
      <c r="A10" s="1"/>
      <c r="B10" s="3" t="s">
        <v>61</v>
      </c>
      <c r="C10" s="1"/>
      <c r="D10" s="19">
        <f>IFERROR(Dashboard!D9/AVERAGE('Bet Log'!K2:K1000),0)</f>
        <v>4.8282236201932358</v>
      </c>
      <c r="E10" s="1"/>
      <c r="F10" s="1"/>
      <c r="G10" s="1"/>
      <c r="H10" s="1"/>
      <c r="I10" s="1"/>
      <c r="J10" s="1"/>
      <c r="K10" s="1"/>
      <c r="L10" s="1"/>
      <c r="M10" s="1"/>
    </row>
    <row r="11" spans="1:13" ht="15.75" customHeight="1" x14ac:dyDescent="0.35">
      <c r="A11" s="1"/>
      <c r="B11" s="3" t="s">
        <v>62</v>
      </c>
      <c r="C11" s="1"/>
      <c r="D11" s="19">
        <f>SUMPRODUCT(('Bet Log'!K2:K1000&lt;&gt;"")*'Bet Log'!K2:K1000)</f>
        <v>1271</v>
      </c>
      <c r="E11" s="1"/>
      <c r="F11" s="1"/>
      <c r="G11" s="1"/>
      <c r="H11" s="1"/>
      <c r="I11" s="1"/>
      <c r="J11" s="1"/>
      <c r="K11" s="1"/>
      <c r="L11" s="1"/>
      <c r="M11" s="1"/>
    </row>
    <row r="12" spans="1:13" ht="15.75" customHeight="1" x14ac:dyDescent="0.35">
      <c r="A12" s="1"/>
      <c r="B12" s="3" t="s">
        <v>63</v>
      </c>
      <c r="C12" s="1"/>
      <c r="D12" s="20">
        <f>IF(Dashboard!D11=0,"-",Dashboard!D9/AVERAGE('Bet Log'!K2:K1000))</f>
        <v>4.8282236201932358</v>
      </c>
      <c r="E12" s="1"/>
      <c r="F12" s="1"/>
      <c r="G12" s="1"/>
      <c r="H12" s="1"/>
      <c r="I12" s="1"/>
      <c r="J12" s="1"/>
      <c r="K12" s="1"/>
      <c r="L12" s="1"/>
      <c r="M12" s="1"/>
    </row>
    <row r="13" spans="1:13" ht="1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1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5" customHeight="1" x14ac:dyDescent="0.35">
      <c r="A15" s="1"/>
      <c r="B15" s="4" t="s">
        <v>64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26.25" customHeight="1" x14ac:dyDescent="0.35">
      <c r="A16" s="1"/>
      <c r="B16" s="5" t="s">
        <v>65</v>
      </c>
      <c r="C16" s="5" t="s">
        <v>5</v>
      </c>
      <c r="D16" s="5" t="s">
        <v>6</v>
      </c>
      <c r="E16" s="5" t="s">
        <v>66</v>
      </c>
      <c r="F16" s="5" t="s">
        <v>67</v>
      </c>
      <c r="G16" s="5" t="s">
        <v>68</v>
      </c>
      <c r="H16" s="1"/>
      <c r="I16" s="1"/>
      <c r="J16" s="1"/>
      <c r="K16" s="1"/>
      <c r="L16" s="1"/>
      <c r="M16" s="1"/>
    </row>
    <row r="17" spans="1:13" ht="15" customHeight="1" x14ac:dyDescent="0.35">
      <c r="A17" s="1"/>
      <c r="B17" s="7" t="s">
        <v>69</v>
      </c>
      <c r="C17" s="7">
        <f>COUNTIFS('Bet Log'!I2:I1000,"&gt;=0",'Bet Log'!I2:I1000,"&lt;0.02")</f>
        <v>0</v>
      </c>
      <c r="D17" s="7">
        <f>COUNTIFS('Bet Log'!I2:I1000,"&gt;=0",'Bet Log'!I2:I1000,"&lt;0.02",'Bet Log'!M2:M1000,"W")</f>
        <v>0</v>
      </c>
      <c r="E17" s="8" t="str">
        <f>IF(C17=0,"-",D17/C17)</f>
        <v>-</v>
      </c>
      <c r="F17" s="8">
        <f>IFERROR(AVERAGEIFS('Bet Log'!I2:I1000,'Bet Log'!I2:I1000,"&gt;=0",'Bet Log'!I2:I1000,"&lt;0.02")+0.5,0)</f>
        <v>0</v>
      </c>
      <c r="G17" s="21" t="str">
        <f>IF(C17=0,"-",E17-F17)</f>
        <v>-</v>
      </c>
      <c r="H17" s="1"/>
      <c r="I17" s="1"/>
      <c r="J17" s="1"/>
      <c r="K17" s="1"/>
      <c r="L17" s="1"/>
      <c r="M17" s="1"/>
    </row>
    <row r="18" spans="1:13" ht="15" customHeight="1" x14ac:dyDescent="0.35">
      <c r="A18" s="1"/>
      <c r="B18" s="7" t="s">
        <v>70</v>
      </c>
      <c r="C18" s="7">
        <f>COUNTIFS('Bet Log'!I2:I1000,"&gt;=0.02",'Bet Log'!I2:I1000,"&lt;0.05")</f>
        <v>0</v>
      </c>
      <c r="D18" s="7">
        <f>COUNTIFS('Bet Log'!I2:I1000,"&gt;=0.02",'Bet Log'!I2:I1000,"&lt;0.05",'Bet Log'!M2:M1000,"W")</f>
        <v>0</v>
      </c>
      <c r="E18" s="8" t="str">
        <f>IF(C18=0,"-",D18/C18)</f>
        <v>-</v>
      </c>
      <c r="F18" s="8">
        <f>IFERROR(AVERAGEIFS('Bet Log'!I2:I1000,'Bet Log'!I2:I1000,"&gt;=0.02",'Bet Log'!I2:I1000,"&lt;0.05")+0.5,0)</f>
        <v>0</v>
      </c>
      <c r="G18" s="21" t="str">
        <f>IF(C18=0,"-",E18-F18)</f>
        <v>-</v>
      </c>
      <c r="H18" s="1"/>
      <c r="I18" s="1"/>
      <c r="J18" s="1"/>
      <c r="K18" s="1"/>
      <c r="L18" s="1"/>
      <c r="M18" s="1"/>
    </row>
    <row r="19" spans="1:13" ht="15" customHeight="1" x14ac:dyDescent="0.35">
      <c r="A19" s="1"/>
      <c r="B19" s="7" t="s">
        <v>71</v>
      </c>
      <c r="C19" s="7">
        <f>COUNTIFS('Bet Log'!I2:I1000,"&gt;=0.05",'Bet Log'!I2:I1000,"&lt;0.1")</f>
        <v>1</v>
      </c>
      <c r="D19" s="7">
        <f>COUNTIFS('Bet Log'!I2:I1000,"&gt;=0.05",'Bet Log'!I2:I1000,"&lt;0.1",'Bet Log'!M2:M1000,"W")</f>
        <v>0</v>
      </c>
      <c r="E19" s="8">
        <f>IF(C19=0,"-",D19/C19)</f>
        <v>0</v>
      </c>
      <c r="F19" s="8">
        <f>IFERROR(AVERAGEIFS('Bet Log'!I2:I1000,'Bet Log'!I2:I1000,"&gt;=0.05",'Bet Log'!I2:I1000,"&lt;0.1")+0.5,0)</f>
        <v>0.59599999999999997</v>
      </c>
      <c r="G19" s="21">
        <f>IF(C19=0,"-",E19-F19)</f>
        <v>-0.59599999999999997</v>
      </c>
      <c r="H19" s="1"/>
      <c r="I19" s="1"/>
      <c r="J19" s="1"/>
      <c r="K19" s="1"/>
      <c r="L19" s="1"/>
      <c r="M19" s="1"/>
    </row>
    <row r="20" spans="1:13" ht="15" customHeight="1" x14ac:dyDescent="0.35">
      <c r="A20" s="1"/>
      <c r="B20" s="7" t="s">
        <v>72</v>
      </c>
      <c r="C20" s="7">
        <f>COUNTIFS('Bet Log'!I2:I1000,"&gt;=0.1",'Bet Log'!I2:I1000,"&lt;1.0")</f>
        <v>7</v>
      </c>
      <c r="D20" s="7">
        <f>COUNTIFS('Bet Log'!I2:I1000,"&gt;=0.1",'Bet Log'!I2:I1000,"&lt;1.0",'Bet Log'!M2:M1000,"W")</f>
        <v>3</v>
      </c>
      <c r="E20" s="8">
        <f>IF(C20=0,"-",D20/C20)</f>
        <v>0.42857142857142855</v>
      </c>
      <c r="F20" s="8">
        <f>IFERROR(AVERAGEIFS('Bet Log'!I2:I1000,'Bet Log'!I2:I1000,"&gt;=0.1",'Bet Log'!I2:I1000,"&lt;1.0")+0.5,0)</f>
        <v>0.74528571428571433</v>
      </c>
      <c r="G20" s="21">
        <f>IF(C20=0,"-",E20-F20)</f>
        <v>-0.31671428571428578</v>
      </c>
      <c r="H20" s="1"/>
      <c r="I20" s="1"/>
      <c r="J20" s="1"/>
      <c r="K20" s="1"/>
      <c r="L20" s="1"/>
      <c r="M20" s="1"/>
    </row>
    <row r="21" spans="1:13" ht="1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E4E6A"/>
  </sheetPr>
  <dimension ref="A1:B501"/>
  <sheetViews>
    <sheetView zoomScaleNormal="100" workbookViewId="0">
      <selection activeCell="B1" sqref="B1"/>
    </sheetView>
  </sheetViews>
  <sheetFormatPr defaultColWidth="8.6328125" defaultRowHeight="14.5" x14ac:dyDescent="0.35"/>
  <cols>
    <col min="1" max="1" width="10.90625" bestFit="1" customWidth="1"/>
    <col min="2" max="2" width="11.90625" bestFit="1" customWidth="1"/>
  </cols>
  <sheetData>
    <row r="1" spans="1:2" ht="15" customHeight="1" x14ac:dyDescent="0.35">
      <c r="A1" s="22" t="s">
        <v>73</v>
      </c>
      <c r="B1" s="22" t="s">
        <v>74</v>
      </c>
    </row>
    <row r="2" spans="1:2" ht="15" customHeight="1" x14ac:dyDescent="0.35">
      <c r="A2">
        <f>IF('Bet Log'!M2="W",1,0)</f>
        <v>1</v>
      </c>
      <c r="B2">
        <f>IF('Bet Log'!M2="L",1,0)</f>
        <v>0</v>
      </c>
    </row>
    <row r="3" spans="1:2" ht="15" customHeight="1" x14ac:dyDescent="0.35">
      <c r="A3">
        <f>IF('Bet Log'!M3="W",A2+1,0)</f>
        <v>2</v>
      </c>
      <c r="B3">
        <f>IF('Bet Log'!M3="L",B2+1,0)</f>
        <v>0</v>
      </c>
    </row>
    <row r="4" spans="1:2" ht="15" customHeight="1" x14ac:dyDescent="0.35">
      <c r="A4">
        <f>IF('Bet Log'!M4="W",A3+1,0)</f>
        <v>0</v>
      </c>
      <c r="B4">
        <f>IF('Bet Log'!M4="L",B3+1,0)</f>
        <v>1</v>
      </c>
    </row>
    <row r="5" spans="1:2" ht="15" customHeight="1" x14ac:dyDescent="0.35">
      <c r="A5">
        <f>IF('Bet Log'!M5="W",A4+1,0)</f>
        <v>1</v>
      </c>
      <c r="B5">
        <f>IF('Bet Log'!M5="L",B4+1,0)</f>
        <v>0</v>
      </c>
    </row>
    <row r="6" spans="1:2" ht="15" customHeight="1" x14ac:dyDescent="0.35">
      <c r="A6">
        <f>IF('Bet Log'!M6="W",A5+1,0)</f>
        <v>2</v>
      </c>
      <c r="B6">
        <f>IF('Bet Log'!M6="L",B5+1,0)</f>
        <v>0</v>
      </c>
    </row>
    <row r="7" spans="1:2" ht="15" customHeight="1" x14ac:dyDescent="0.35">
      <c r="A7">
        <f>IF('Bet Log'!M7="W",A6+1,0)</f>
        <v>0</v>
      </c>
      <c r="B7">
        <f>IF('Bet Log'!M7="L",B6+1,0)</f>
        <v>1</v>
      </c>
    </row>
    <row r="8" spans="1:2" ht="15" customHeight="1" x14ac:dyDescent="0.35">
      <c r="A8">
        <f>IF('Bet Log'!M8="W",A7+1,0)</f>
        <v>0</v>
      </c>
      <c r="B8">
        <f>IF('Bet Log'!M8="L",B7+1,0)</f>
        <v>2</v>
      </c>
    </row>
    <row r="9" spans="1:2" ht="15" customHeight="1" x14ac:dyDescent="0.35">
      <c r="A9">
        <f>IF('Bet Log'!M9="W",A8+1,0)</f>
        <v>1</v>
      </c>
      <c r="B9">
        <f>IF('Bet Log'!M9="L",B8+1,0)</f>
        <v>0</v>
      </c>
    </row>
    <row r="10" spans="1:2" ht="15" customHeight="1" x14ac:dyDescent="0.35">
      <c r="A10">
        <f>IF('Bet Log'!M10="W",A9+1,0)</f>
        <v>0</v>
      </c>
      <c r="B10">
        <f>IF('Bet Log'!M10="L",B9+1,0)</f>
        <v>1</v>
      </c>
    </row>
    <row r="11" spans="1:2" ht="15" customHeight="1" x14ac:dyDescent="0.35">
      <c r="A11">
        <f>IF('Bet Log'!M11="W",A10+1,0)</f>
        <v>0</v>
      </c>
      <c r="B11">
        <f>IF('Bet Log'!M11="L",B10+1,0)</f>
        <v>2</v>
      </c>
    </row>
    <row r="12" spans="1:2" ht="15" customHeight="1" x14ac:dyDescent="0.35">
      <c r="A12">
        <f>IF('Bet Log'!M12="W",A11+1,0)</f>
        <v>1</v>
      </c>
      <c r="B12">
        <f>IF('Bet Log'!M12="L",B11+1,0)</f>
        <v>0</v>
      </c>
    </row>
    <row r="13" spans="1:2" ht="15" customHeight="1" x14ac:dyDescent="0.35">
      <c r="A13">
        <f>IF('Bet Log'!M13="W",A12+1,0)</f>
        <v>2</v>
      </c>
      <c r="B13">
        <f>IF('Bet Log'!M13="L",B12+1,0)</f>
        <v>0</v>
      </c>
    </row>
    <row r="14" spans="1:2" ht="15" customHeight="1" x14ac:dyDescent="0.35">
      <c r="A14">
        <f>IF('Bet Log'!M14="W",A13+1,0)</f>
        <v>0</v>
      </c>
      <c r="B14">
        <f>IF('Bet Log'!M14="L",B13+1,0)</f>
        <v>1</v>
      </c>
    </row>
    <row r="15" spans="1:2" ht="15" customHeight="1" x14ac:dyDescent="0.35">
      <c r="A15">
        <f>IF('Bet Log'!M15="W",A14+1,0)</f>
        <v>0</v>
      </c>
      <c r="B15">
        <f>IF('Bet Log'!M15="L",B14+1,0)</f>
        <v>2</v>
      </c>
    </row>
    <row r="16" spans="1:2" ht="15" customHeight="1" x14ac:dyDescent="0.35">
      <c r="A16">
        <f>IF('Bet Log'!M16="W",A15+1,0)</f>
        <v>0</v>
      </c>
      <c r="B16">
        <f>IF('Bet Log'!M16="L",B15+1,0)</f>
        <v>3</v>
      </c>
    </row>
    <row r="17" spans="1:2" ht="15" customHeight="1" x14ac:dyDescent="0.35">
      <c r="A17">
        <f>IF('Bet Log'!M17="W",A16+1,0)</f>
        <v>1</v>
      </c>
      <c r="B17">
        <f>IF('Bet Log'!M17="L",B16+1,0)</f>
        <v>0</v>
      </c>
    </row>
    <row r="18" spans="1:2" ht="15" customHeight="1" x14ac:dyDescent="0.35">
      <c r="A18">
        <f>IF('Bet Log'!M18="W",A17+1,0)</f>
        <v>0</v>
      </c>
      <c r="B18">
        <f>IF('Bet Log'!M18="L",B17+1,0)</f>
        <v>0</v>
      </c>
    </row>
    <row r="19" spans="1:2" ht="15" customHeight="1" x14ac:dyDescent="0.35">
      <c r="A19">
        <f>IF('Bet Log'!M19="W",A18+1,0)</f>
        <v>0</v>
      </c>
      <c r="B19">
        <f>IF('Bet Log'!M19="L",B18+1,0)</f>
        <v>0</v>
      </c>
    </row>
    <row r="20" spans="1:2" ht="15" customHeight="1" x14ac:dyDescent="0.35">
      <c r="A20">
        <f>IF('Bet Log'!M20="W",A19+1,0)</f>
        <v>0</v>
      </c>
      <c r="B20">
        <f>IF('Bet Log'!M20="L",B19+1,0)</f>
        <v>0</v>
      </c>
    </row>
    <row r="21" spans="1:2" ht="15" customHeight="1" x14ac:dyDescent="0.35">
      <c r="A21">
        <f>IF('Bet Log'!M21="W",A20+1,0)</f>
        <v>0</v>
      </c>
      <c r="B21">
        <f>IF('Bet Log'!M21="L",B20+1,0)</f>
        <v>0</v>
      </c>
    </row>
    <row r="22" spans="1:2" ht="15" customHeight="1" x14ac:dyDescent="0.35">
      <c r="A22">
        <f>IF('Bet Log'!M22="W",A21+1,0)</f>
        <v>0</v>
      </c>
      <c r="B22">
        <f>IF('Bet Log'!M22="L",B21+1,0)</f>
        <v>0</v>
      </c>
    </row>
    <row r="23" spans="1:2" ht="15" customHeight="1" x14ac:dyDescent="0.35">
      <c r="A23">
        <f>IF('Bet Log'!M23="W",A22+1,0)</f>
        <v>0</v>
      </c>
      <c r="B23">
        <f>IF('Bet Log'!M23="L",B22+1,0)</f>
        <v>0</v>
      </c>
    </row>
    <row r="24" spans="1:2" ht="15" customHeight="1" x14ac:dyDescent="0.35">
      <c r="A24">
        <f>IF('Bet Log'!M24="W",A23+1,0)</f>
        <v>0</v>
      </c>
      <c r="B24">
        <f>IF('Bet Log'!M24="L",B23+1,0)</f>
        <v>0</v>
      </c>
    </row>
    <row r="25" spans="1:2" ht="15" customHeight="1" x14ac:dyDescent="0.35">
      <c r="A25">
        <f>IF('Bet Log'!M25="W",A24+1,0)</f>
        <v>0</v>
      </c>
      <c r="B25">
        <f>IF('Bet Log'!M25="L",B24+1,0)</f>
        <v>0</v>
      </c>
    </row>
    <row r="26" spans="1:2" ht="15" customHeight="1" x14ac:dyDescent="0.35">
      <c r="A26">
        <f>IF('Bet Log'!M26="W",A25+1,0)</f>
        <v>0</v>
      </c>
      <c r="B26">
        <f>IF('Bet Log'!M26="L",B25+1,0)</f>
        <v>0</v>
      </c>
    </row>
    <row r="27" spans="1:2" ht="15" customHeight="1" x14ac:dyDescent="0.35">
      <c r="A27">
        <f>IF('Bet Log'!M27="W",A26+1,0)</f>
        <v>0</v>
      </c>
      <c r="B27">
        <f>IF('Bet Log'!M27="L",B26+1,0)</f>
        <v>0</v>
      </c>
    </row>
    <row r="28" spans="1:2" ht="15" customHeight="1" x14ac:dyDescent="0.35">
      <c r="A28">
        <f>IF('Bet Log'!M28="W",A27+1,0)</f>
        <v>0</v>
      </c>
      <c r="B28">
        <f>IF('Bet Log'!M28="L",B27+1,0)</f>
        <v>0</v>
      </c>
    </row>
    <row r="29" spans="1:2" ht="15" customHeight="1" x14ac:dyDescent="0.35">
      <c r="A29">
        <f>IF('Bet Log'!M29="W",A28+1,0)</f>
        <v>0</v>
      </c>
      <c r="B29">
        <f>IF('Bet Log'!M29="L",B28+1,0)</f>
        <v>0</v>
      </c>
    </row>
    <row r="30" spans="1:2" ht="15" customHeight="1" x14ac:dyDescent="0.35">
      <c r="A30">
        <f>IF('Bet Log'!M30="W",A29+1,0)</f>
        <v>0</v>
      </c>
      <c r="B30">
        <f>IF('Bet Log'!M30="L",B29+1,0)</f>
        <v>0</v>
      </c>
    </row>
    <row r="31" spans="1:2" ht="15" customHeight="1" x14ac:dyDescent="0.35">
      <c r="A31">
        <f>IF('Bet Log'!M31="W",A30+1,0)</f>
        <v>0</v>
      </c>
      <c r="B31">
        <f>IF('Bet Log'!M31="L",B30+1,0)</f>
        <v>0</v>
      </c>
    </row>
    <row r="32" spans="1:2" ht="15" customHeight="1" x14ac:dyDescent="0.35">
      <c r="A32">
        <f>IF('Bet Log'!M32="W",A31+1,0)</f>
        <v>0</v>
      </c>
      <c r="B32">
        <f>IF('Bet Log'!M32="L",B31+1,0)</f>
        <v>0</v>
      </c>
    </row>
    <row r="33" spans="1:2" ht="15" customHeight="1" x14ac:dyDescent="0.35">
      <c r="A33">
        <f>IF('Bet Log'!M33="W",A32+1,0)</f>
        <v>0</v>
      </c>
      <c r="B33">
        <f>IF('Bet Log'!M33="L",B32+1,0)</f>
        <v>0</v>
      </c>
    </row>
    <row r="34" spans="1:2" ht="15" customHeight="1" x14ac:dyDescent="0.35">
      <c r="A34">
        <f>IF('Bet Log'!M34="W",A33+1,0)</f>
        <v>0</v>
      </c>
      <c r="B34">
        <f>IF('Bet Log'!M34="L",B33+1,0)</f>
        <v>0</v>
      </c>
    </row>
    <row r="35" spans="1:2" ht="15" customHeight="1" x14ac:dyDescent="0.35">
      <c r="A35">
        <f>IF('Bet Log'!M35="W",A34+1,0)</f>
        <v>0</v>
      </c>
      <c r="B35">
        <f>IF('Bet Log'!M35="L",B34+1,0)</f>
        <v>0</v>
      </c>
    </row>
    <row r="36" spans="1:2" ht="15" customHeight="1" x14ac:dyDescent="0.35">
      <c r="A36">
        <f>IF('Bet Log'!M36="W",A35+1,0)</f>
        <v>0</v>
      </c>
      <c r="B36">
        <f>IF('Bet Log'!M36="L",B35+1,0)</f>
        <v>0</v>
      </c>
    </row>
    <row r="37" spans="1:2" ht="15" customHeight="1" x14ac:dyDescent="0.35">
      <c r="A37">
        <f>IF('Bet Log'!M37="W",A36+1,0)</f>
        <v>0</v>
      </c>
      <c r="B37">
        <f>IF('Bet Log'!M37="L",B36+1,0)</f>
        <v>0</v>
      </c>
    </row>
    <row r="38" spans="1:2" ht="15" customHeight="1" x14ac:dyDescent="0.35">
      <c r="A38">
        <f>IF('Bet Log'!M38="W",A37+1,0)</f>
        <v>0</v>
      </c>
      <c r="B38">
        <f>IF('Bet Log'!M38="L",B37+1,0)</f>
        <v>0</v>
      </c>
    </row>
    <row r="39" spans="1:2" ht="15" customHeight="1" x14ac:dyDescent="0.35">
      <c r="A39">
        <f>IF('Bet Log'!M39="W",A38+1,0)</f>
        <v>0</v>
      </c>
      <c r="B39">
        <f>IF('Bet Log'!M39="L",B38+1,0)</f>
        <v>0</v>
      </c>
    </row>
    <row r="40" spans="1:2" ht="15" customHeight="1" x14ac:dyDescent="0.35">
      <c r="A40">
        <f>IF('Bet Log'!M40="W",A39+1,0)</f>
        <v>0</v>
      </c>
      <c r="B40">
        <f>IF('Bet Log'!M40="L",B39+1,0)</f>
        <v>0</v>
      </c>
    </row>
    <row r="41" spans="1:2" ht="15" customHeight="1" x14ac:dyDescent="0.35">
      <c r="A41">
        <f>IF('Bet Log'!M41="W",A40+1,0)</f>
        <v>0</v>
      </c>
      <c r="B41">
        <f>IF('Bet Log'!M41="L",B40+1,0)</f>
        <v>0</v>
      </c>
    </row>
    <row r="42" spans="1:2" ht="15" customHeight="1" x14ac:dyDescent="0.35">
      <c r="A42">
        <f>IF('Bet Log'!M42="W",A41+1,0)</f>
        <v>0</v>
      </c>
      <c r="B42">
        <f>IF('Bet Log'!M42="L",B41+1,0)</f>
        <v>0</v>
      </c>
    </row>
    <row r="43" spans="1:2" ht="15" customHeight="1" x14ac:dyDescent="0.35">
      <c r="A43">
        <f>IF('Bet Log'!M43="W",A42+1,0)</f>
        <v>0</v>
      </c>
      <c r="B43">
        <f>IF('Bet Log'!M43="L",B42+1,0)</f>
        <v>0</v>
      </c>
    </row>
    <row r="44" spans="1:2" ht="15" customHeight="1" x14ac:dyDescent="0.35">
      <c r="A44">
        <f>IF('Bet Log'!M44="W",A43+1,0)</f>
        <v>0</v>
      </c>
      <c r="B44">
        <f>IF('Bet Log'!M44="L",B43+1,0)</f>
        <v>0</v>
      </c>
    </row>
    <row r="45" spans="1:2" ht="15" customHeight="1" x14ac:dyDescent="0.35">
      <c r="A45">
        <f>IF('Bet Log'!M45="W",A44+1,0)</f>
        <v>0</v>
      </c>
      <c r="B45">
        <f>IF('Bet Log'!M45="L",B44+1,0)</f>
        <v>0</v>
      </c>
    </row>
    <row r="46" spans="1:2" ht="15" customHeight="1" x14ac:dyDescent="0.35">
      <c r="A46">
        <f>IF('Bet Log'!M46="W",A45+1,0)</f>
        <v>0</v>
      </c>
      <c r="B46">
        <f>IF('Bet Log'!M46="L",B45+1,0)</f>
        <v>0</v>
      </c>
    </row>
    <row r="47" spans="1:2" ht="15" customHeight="1" x14ac:dyDescent="0.35">
      <c r="A47">
        <f>IF('Bet Log'!M47="W",A46+1,0)</f>
        <v>0</v>
      </c>
      <c r="B47">
        <f>IF('Bet Log'!M47="L",B46+1,0)</f>
        <v>0</v>
      </c>
    </row>
    <row r="48" spans="1:2" ht="15" customHeight="1" x14ac:dyDescent="0.35">
      <c r="A48">
        <f>IF('Bet Log'!M48="W",A47+1,0)</f>
        <v>0</v>
      </c>
      <c r="B48">
        <f>IF('Bet Log'!M48="L",B47+1,0)</f>
        <v>0</v>
      </c>
    </row>
    <row r="49" spans="1:2" ht="15" customHeight="1" x14ac:dyDescent="0.35">
      <c r="A49">
        <f>IF('Bet Log'!M49="W",A48+1,0)</f>
        <v>0</v>
      </c>
      <c r="B49">
        <f>IF('Bet Log'!M49="L",B48+1,0)</f>
        <v>0</v>
      </c>
    </row>
    <row r="50" spans="1:2" ht="15" customHeight="1" x14ac:dyDescent="0.35">
      <c r="A50">
        <f>IF('Bet Log'!M50="W",A49+1,0)</f>
        <v>0</v>
      </c>
      <c r="B50">
        <f>IF('Bet Log'!M50="L",B49+1,0)</f>
        <v>0</v>
      </c>
    </row>
    <row r="51" spans="1:2" ht="15" customHeight="1" x14ac:dyDescent="0.35">
      <c r="A51">
        <f>IF('Bet Log'!M51="W",A50+1,0)</f>
        <v>0</v>
      </c>
      <c r="B51">
        <f>IF('Bet Log'!M51="L",B50+1,0)</f>
        <v>0</v>
      </c>
    </row>
    <row r="52" spans="1:2" ht="15" customHeight="1" x14ac:dyDescent="0.35">
      <c r="A52">
        <f>IF('Bet Log'!M52="W",A51+1,0)</f>
        <v>0</v>
      </c>
      <c r="B52">
        <f>IF('Bet Log'!M52="L",B51+1,0)</f>
        <v>0</v>
      </c>
    </row>
    <row r="53" spans="1:2" ht="15" customHeight="1" x14ac:dyDescent="0.35">
      <c r="A53">
        <f>IF('Bet Log'!M53="W",A52+1,0)</f>
        <v>0</v>
      </c>
      <c r="B53">
        <f>IF('Bet Log'!M53="L",B52+1,0)</f>
        <v>0</v>
      </c>
    </row>
    <row r="54" spans="1:2" ht="15" customHeight="1" x14ac:dyDescent="0.35">
      <c r="A54">
        <f>IF('Bet Log'!M54="W",A53+1,0)</f>
        <v>0</v>
      </c>
      <c r="B54">
        <f>IF('Bet Log'!M54="L",B53+1,0)</f>
        <v>0</v>
      </c>
    </row>
    <row r="55" spans="1:2" ht="15" customHeight="1" x14ac:dyDescent="0.35">
      <c r="A55">
        <f>IF('Bet Log'!M55="W",A54+1,0)</f>
        <v>0</v>
      </c>
      <c r="B55">
        <f>IF('Bet Log'!M55="L",B54+1,0)</f>
        <v>0</v>
      </c>
    </row>
    <row r="56" spans="1:2" ht="15" customHeight="1" x14ac:dyDescent="0.35">
      <c r="A56">
        <f>IF('Bet Log'!M56="W",A55+1,0)</f>
        <v>0</v>
      </c>
      <c r="B56">
        <f>IF('Bet Log'!M56="L",B55+1,0)</f>
        <v>0</v>
      </c>
    </row>
    <row r="57" spans="1:2" ht="15" customHeight="1" x14ac:dyDescent="0.35">
      <c r="A57">
        <f>IF('Bet Log'!M57="W",A56+1,0)</f>
        <v>0</v>
      </c>
      <c r="B57">
        <f>IF('Bet Log'!M57="L",B56+1,0)</f>
        <v>0</v>
      </c>
    </row>
    <row r="58" spans="1:2" ht="15" customHeight="1" x14ac:dyDescent="0.35">
      <c r="A58">
        <f>IF('Bet Log'!M58="W",A57+1,0)</f>
        <v>0</v>
      </c>
      <c r="B58">
        <f>IF('Bet Log'!M58="L",B57+1,0)</f>
        <v>0</v>
      </c>
    </row>
    <row r="59" spans="1:2" ht="15" customHeight="1" x14ac:dyDescent="0.35">
      <c r="A59">
        <f>IF('Bet Log'!M59="W",A58+1,0)</f>
        <v>0</v>
      </c>
      <c r="B59">
        <f>IF('Bet Log'!M59="L",B58+1,0)</f>
        <v>0</v>
      </c>
    </row>
    <row r="60" spans="1:2" ht="15" customHeight="1" x14ac:dyDescent="0.35">
      <c r="A60">
        <f>IF('Bet Log'!M60="W",A59+1,0)</f>
        <v>0</v>
      </c>
      <c r="B60">
        <f>IF('Bet Log'!M60="L",B59+1,0)</f>
        <v>0</v>
      </c>
    </row>
    <row r="61" spans="1:2" ht="15" customHeight="1" x14ac:dyDescent="0.35">
      <c r="A61">
        <f>IF('Bet Log'!M61="W",A60+1,0)</f>
        <v>0</v>
      </c>
      <c r="B61">
        <f>IF('Bet Log'!M61="L",B60+1,0)</f>
        <v>0</v>
      </c>
    </row>
    <row r="62" spans="1:2" ht="15" customHeight="1" x14ac:dyDescent="0.35">
      <c r="A62">
        <f>IF('Bet Log'!M62="W",A61+1,0)</f>
        <v>0</v>
      </c>
      <c r="B62">
        <f>IF('Bet Log'!M62="L",B61+1,0)</f>
        <v>0</v>
      </c>
    </row>
    <row r="63" spans="1:2" ht="15" customHeight="1" x14ac:dyDescent="0.35">
      <c r="A63">
        <f>IF('Bet Log'!M63="W",A62+1,0)</f>
        <v>0</v>
      </c>
      <c r="B63">
        <f>IF('Bet Log'!M63="L",B62+1,0)</f>
        <v>0</v>
      </c>
    </row>
    <row r="64" spans="1:2" ht="15" customHeight="1" x14ac:dyDescent="0.35">
      <c r="A64">
        <f>IF('Bet Log'!M64="W",A63+1,0)</f>
        <v>0</v>
      </c>
      <c r="B64">
        <f>IF('Bet Log'!M64="L",B63+1,0)</f>
        <v>0</v>
      </c>
    </row>
    <row r="65" spans="1:2" ht="15" customHeight="1" x14ac:dyDescent="0.35">
      <c r="A65">
        <f>IF('Bet Log'!M65="W",A64+1,0)</f>
        <v>0</v>
      </c>
      <c r="B65">
        <f>IF('Bet Log'!M65="L",B64+1,0)</f>
        <v>0</v>
      </c>
    </row>
    <row r="66" spans="1:2" ht="15" customHeight="1" x14ac:dyDescent="0.35">
      <c r="A66">
        <f>IF('Bet Log'!M66="W",A65+1,0)</f>
        <v>0</v>
      </c>
      <c r="B66">
        <f>IF('Bet Log'!M66="L",B65+1,0)</f>
        <v>0</v>
      </c>
    </row>
    <row r="67" spans="1:2" ht="15" customHeight="1" x14ac:dyDescent="0.35">
      <c r="A67">
        <f>IF('Bet Log'!M67="W",A66+1,0)</f>
        <v>0</v>
      </c>
      <c r="B67">
        <f>IF('Bet Log'!M67="L",B66+1,0)</f>
        <v>0</v>
      </c>
    </row>
    <row r="68" spans="1:2" ht="15" customHeight="1" x14ac:dyDescent="0.35">
      <c r="A68">
        <f>IF('Bet Log'!M68="W",A67+1,0)</f>
        <v>0</v>
      </c>
      <c r="B68">
        <f>IF('Bet Log'!M68="L",B67+1,0)</f>
        <v>0</v>
      </c>
    </row>
    <row r="69" spans="1:2" ht="15" customHeight="1" x14ac:dyDescent="0.35">
      <c r="A69">
        <f>IF('Bet Log'!M69="W",A68+1,0)</f>
        <v>0</v>
      </c>
      <c r="B69">
        <f>IF('Bet Log'!M69="L",B68+1,0)</f>
        <v>0</v>
      </c>
    </row>
    <row r="70" spans="1:2" ht="15" customHeight="1" x14ac:dyDescent="0.35">
      <c r="A70">
        <f>IF('Bet Log'!M70="W",A69+1,0)</f>
        <v>0</v>
      </c>
      <c r="B70">
        <f>IF('Bet Log'!M70="L",B69+1,0)</f>
        <v>0</v>
      </c>
    </row>
    <row r="71" spans="1:2" ht="15" customHeight="1" x14ac:dyDescent="0.35">
      <c r="A71">
        <f>IF('Bet Log'!M71="W",A70+1,0)</f>
        <v>0</v>
      </c>
      <c r="B71">
        <f>IF('Bet Log'!M71="L",B70+1,0)</f>
        <v>0</v>
      </c>
    </row>
    <row r="72" spans="1:2" ht="15" customHeight="1" x14ac:dyDescent="0.35">
      <c r="A72">
        <f>IF('Bet Log'!M72="W",A71+1,0)</f>
        <v>0</v>
      </c>
      <c r="B72">
        <f>IF('Bet Log'!M72="L",B71+1,0)</f>
        <v>0</v>
      </c>
    </row>
    <row r="73" spans="1:2" ht="15" customHeight="1" x14ac:dyDescent="0.35">
      <c r="A73">
        <f>IF('Bet Log'!M73="W",A72+1,0)</f>
        <v>0</v>
      </c>
      <c r="B73">
        <f>IF('Bet Log'!M73="L",B72+1,0)</f>
        <v>0</v>
      </c>
    </row>
    <row r="74" spans="1:2" ht="15" customHeight="1" x14ac:dyDescent="0.35">
      <c r="A74">
        <f>IF('Bet Log'!M74="W",A73+1,0)</f>
        <v>0</v>
      </c>
      <c r="B74">
        <f>IF('Bet Log'!M74="L",B73+1,0)</f>
        <v>0</v>
      </c>
    </row>
    <row r="75" spans="1:2" ht="15" customHeight="1" x14ac:dyDescent="0.35">
      <c r="A75">
        <f>IF('Bet Log'!M75="W",A74+1,0)</f>
        <v>0</v>
      </c>
      <c r="B75">
        <f>IF('Bet Log'!M75="L",B74+1,0)</f>
        <v>0</v>
      </c>
    </row>
    <row r="76" spans="1:2" ht="15" customHeight="1" x14ac:dyDescent="0.35">
      <c r="A76">
        <f>IF('Bet Log'!M76="W",A75+1,0)</f>
        <v>0</v>
      </c>
      <c r="B76">
        <f>IF('Bet Log'!M76="L",B75+1,0)</f>
        <v>0</v>
      </c>
    </row>
    <row r="77" spans="1:2" ht="15" customHeight="1" x14ac:dyDescent="0.35">
      <c r="A77">
        <f>IF('Bet Log'!M77="W",A76+1,0)</f>
        <v>0</v>
      </c>
      <c r="B77">
        <f>IF('Bet Log'!M77="L",B76+1,0)</f>
        <v>0</v>
      </c>
    </row>
    <row r="78" spans="1:2" ht="15" customHeight="1" x14ac:dyDescent="0.35">
      <c r="A78">
        <f>IF('Bet Log'!M78="W",A77+1,0)</f>
        <v>0</v>
      </c>
      <c r="B78">
        <f>IF('Bet Log'!M78="L",B77+1,0)</f>
        <v>0</v>
      </c>
    </row>
    <row r="79" spans="1:2" ht="15" customHeight="1" x14ac:dyDescent="0.35">
      <c r="A79">
        <f>IF('Bet Log'!M79="W",A78+1,0)</f>
        <v>0</v>
      </c>
      <c r="B79">
        <f>IF('Bet Log'!M79="L",B78+1,0)</f>
        <v>0</v>
      </c>
    </row>
    <row r="80" spans="1:2" ht="15" customHeight="1" x14ac:dyDescent="0.35">
      <c r="A80">
        <f>IF('Bet Log'!M80="W",A79+1,0)</f>
        <v>0</v>
      </c>
      <c r="B80">
        <f>IF('Bet Log'!M80="L",B79+1,0)</f>
        <v>0</v>
      </c>
    </row>
    <row r="81" spans="1:2" ht="15" customHeight="1" x14ac:dyDescent="0.35">
      <c r="A81">
        <f>IF('Bet Log'!M81="W",A80+1,0)</f>
        <v>0</v>
      </c>
      <c r="B81">
        <f>IF('Bet Log'!M81="L",B80+1,0)</f>
        <v>0</v>
      </c>
    </row>
    <row r="82" spans="1:2" ht="15" customHeight="1" x14ac:dyDescent="0.35">
      <c r="A82">
        <f>IF('Bet Log'!M82="W",A81+1,0)</f>
        <v>0</v>
      </c>
      <c r="B82">
        <f>IF('Bet Log'!M82="L",B81+1,0)</f>
        <v>0</v>
      </c>
    </row>
    <row r="83" spans="1:2" ht="15" customHeight="1" x14ac:dyDescent="0.35">
      <c r="A83">
        <f>IF('Bet Log'!M83="W",A82+1,0)</f>
        <v>0</v>
      </c>
      <c r="B83">
        <f>IF('Bet Log'!M83="L",B82+1,0)</f>
        <v>0</v>
      </c>
    </row>
    <row r="84" spans="1:2" ht="15" customHeight="1" x14ac:dyDescent="0.35">
      <c r="A84">
        <f>IF('Bet Log'!M84="W",A83+1,0)</f>
        <v>0</v>
      </c>
      <c r="B84">
        <f>IF('Bet Log'!M84="L",B83+1,0)</f>
        <v>0</v>
      </c>
    </row>
    <row r="85" spans="1:2" ht="15" customHeight="1" x14ac:dyDescent="0.35">
      <c r="A85">
        <f>IF('Bet Log'!M85="W",A84+1,0)</f>
        <v>0</v>
      </c>
      <c r="B85">
        <f>IF('Bet Log'!M85="L",B84+1,0)</f>
        <v>0</v>
      </c>
    </row>
    <row r="86" spans="1:2" ht="15" customHeight="1" x14ac:dyDescent="0.35">
      <c r="A86">
        <f>IF('Bet Log'!M86="W",A85+1,0)</f>
        <v>0</v>
      </c>
      <c r="B86">
        <f>IF('Bet Log'!M86="L",B85+1,0)</f>
        <v>0</v>
      </c>
    </row>
    <row r="87" spans="1:2" ht="15" customHeight="1" x14ac:dyDescent="0.35">
      <c r="A87">
        <f>IF('Bet Log'!M87="W",A86+1,0)</f>
        <v>0</v>
      </c>
      <c r="B87">
        <f>IF('Bet Log'!M87="L",B86+1,0)</f>
        <v>0</v>
      </c>
    </row>
    <row r="88" spans="1:2" ht="15" customHeight="1" x14ac:dyDescent="0.35">
      <c r="A88">
        <f>IF('Bet Log'!M88="W",A87+1,0)</f>
        <v>0</v>
      </c>
      <c r="B88">
        <f>IF('Bet Log'!M88="L",B87+1,0)</f>
        <v>0</v>
      </c>
    </row>
    <row r="89" spans="1:2" ht="15" customHeight="1" x14ac:dyDescent="0.35">
      <c r="A89">
        <f>IF('Bet Log'!M89="W",A88+1,0)</f>
        <v>0</v>
      </c>
      <c r="B89">
        <f>IF('Bet Log'!M89="L",B88+1,0)</f>
        <v>0</v>
      </c>
    </row>
    <row r="90" spans="1:2" ht="15" customHeight="1" x14ac:dyDescent="0.35">
      <c r="A90">
        <f>IF('Bet Log'!M90="W",A89+1,0)</f>
        <v>0</v>
      </c>
      <c r="B90">
        <f>IF('Bet Log'!M90="L",B89+1,0)</f>
        <v>0</v>
      </c>
    </row>
    <row r="91" spans="1:2" ht="15" customHeight="1" x14ac:dyDescent="0.35">
      <c r="A91">
        <f>IF('Bet Log'!M91="W",A90+1,0)</f>
        <v>0</v>
      </c>
      <c r="B91">
        <f>IF('Bet Log'!M91="L",B90+1,0)</f>
        <v>0</v>
      </c>
    </row>
    <row r="92" spans="1:2" ht="15" customHeight="1" x14ac:dyDescent="0.35">
      <c r="A92">
        <f>IF('Bet Log'!M92="W",A91+1,0)</f>
        <v>0</v>
      </c>
      <c r="B92">
        <f>IF('Bet Log'!M92="L",B91+1,0)</f>
        <v>0</v>
      </c>
    </row>
    <row r="93" spans="1:2" ht="15" customHeight="1" x14ac:dyDescent="0.35">
      <c r="A93">
        <f>IF('Bet Log'!M93="W",A92+1,0)</f>
        <v>0</v>
      </c>
      <c r="B93">
        <f>IF('Bet Log'!M93="L",B92+1,0)</f>
        <v>0</v>
      </c>
    </row>
    <row r="94" spans="1:2" ht="15" customHeight="1" x14ac:dyDescent="0.35">
      <c r="A94">
        <f>IF('Bet Log'!M94="W",A93+1,0)</f>
        <v>0</v>
      </c>
      <c r="B94">
        <f>IF('Bet Log'!M94="L",B93+1,0)</f>
        <v>0</v>
      </c>
    </row>
    <row r="95" spans="1:2" ht="15" customHeight="1" x14ac:dyDescent="0.35">
      <c r="A95">
        <f>IF('Bet Log'!M95="W",A94+1,0)</f>
        <v>0</v>
      </c>
      <c r="B95">
        <f>IF('Bet Log'!M95="L",B94+1,0)</f>
        <v>0</v>
      </c>
    </row>
    <row r="96" spans="1:2" ht="15" customHeight="1" x14ac:dyDescent="0.35">
      <c r="A96">
        <f>IF('Bet Log'!M96="W",A95+1,0)</f>
        <v>0</v>
      </c>
      <c r="B96">
        <f>IF('Bet Log'!M96="L",B95+1,0)</f>
        <v>0</v>
      </c>
    </row>
    <row r="97" spans="1:2" ht="15" customHeight="1" x14ac:dyDescent="0.35">
      <c r="A97">
        <f>IF('Bet Log'!M97="W",A96+1,0)</f>
        <v>0</v>
      </c>
      <c r="B97">
        <f>IF('Bet Log'!M97="L",B96+1,0)</f>
        <v>0</v>
      </c>
    </row>
    <row r="98" spans="1:2" ht="15" customHeight="1" x14ac:dyDescent="0.35">
      <c r="A98">
        <f>IF('Bet Log'!M98="W",A97+1,0)</f>
        <v>0</v>
      </c>
      <c r="B98">
        <f>IF('Bet Log'!M98="L",B97+1,0)</f>
        <v>0</v>
      </c>
    </row>
    <row r="99" spans="1:2" ht="15" customHeight="1" x14ac:dyDescent="0.35">
      <c r="A99">
        <f>IF('Bet Log'!M99="W",A98+1,0)</f>
        <v>0</v>
      </c>
      <c r="B99">
        <f>IF('Bet Log'!M99="L",B98+1,0)</f>
        <v>0</v>
      </c>
    </row>
    <row r="100" spans="1:2" ht="15" customHeight="1" x14ac:dyDescent="0.35">
      <c r="A100">
        <f>IF('Bet Log'!M100="W",A99+1,0)</f>
        <v>0</v>
      </c>
      <c r="B100">
        <f>IF('Bet Log'!M100="L",B99+1,0)</f>
        <v>0</v>
      </c>
    </row>
    <row r="101" spans="1:2" ht="15" customHeight="1" x14ac:dyDescent="0.35">
      <c r="A101">
        <f>IF('Bet Log'!M101="W",A100+1,0)</f>
        <v>0</v>
      </c>
      <c r="B101">
        <f>IF('Bet Log'!M101="L",B100+1,0)</f>
        <v>0</v>
      </c>
    </row>
    <row r="102" spans="1:2" ht="15" customHeight="1" x14ac:dyDescent="0.35">
      <c r="A102">
        <f>IF('Bet Log'!M102="W",A101+1,0)</f>
        <v>0</v>
      </c>
      <c r="B102">
        <f>IF('Bet Log'!M102="L",B101+1,0)</f>
        <v>0</v>
      </c>
    </row>
    <row r="103" spans="1:2" ht="15" customHeight="1" x14ac:dyDescent="0.35">
      <c r="A103">
        <f>IF('Bet Log'!M103="W",A102+1,0)</f>
        <v>0</v>
      </c>
      <c r="B103">
        <f>IF('Bet Log'!M103="L",B102+1,0)</f>
        <v>0</v>
      </c>
    </row>
    <row r="104" spans="1:2" ht="15" customHeight="1" x14ac:dyDescent="0.35">
      <c r="A104">
        <f>IF('Bet Log'!M104="W",A103+1,0)</f>
        <v>0</v>
      </c>
      <c r="B104">
        <f>IF('Bet Log'!M104="L",B103+1,0)</f>
        <v>0</v>
      </c>
    </row>
    <row r="105" spans="1:2" ht="15" customHeight="1" x14ac:dyDescent="0.35">
      <c r="A105">
        <f>IF('Bet Log'!M105="W",A104+1,0)</f>
        <v>0</v>
      </c>
      <c r="B105">
        <f>IF('Bet Log'!M105="L",B104+1,0)</f>
        <v>0</v>
      </c>
    </row>
    <row r="106" spans="1:2" ht="15" customHeight="1" x14ac:dyDescent="0.35">
      <c r="A106">
        <f>IF('Bet Log'!M106="W",A105+1,0)</f>
        <v>0</v>
      </c>
      <c r="B106">
        <f>IF('Bet Log'!M106="L",B105+1,0)</f>
        <v>0</v>
      </c>
    </row>
    <row r="107" spans="1:2" ht="15" customHeight="1" x14ac:dyDescent="0.35">
      <c r="A107">
        <f>IF('Bet Log'!M107="W",A106+1,0)</f>
        <v>0</v>
      </c>
      <c r="B107">
        <f>IF('Bet Log'!M107="L",B106+1,0)</f>
        <v>0</v>
      </c>
    </row>
    <row r="108" spans="1:2" ht="15" customHeight="1" x14ac:dyDescent="0.35">
      <c r="A108">
        <f>IF('Bet Log'!M108="W",A107+1,0)</f>
        <v>0</v>
      </c>
      <c r="B108">
        <f>IF('Bet Log'!M108="L",B107+1,0)</f>
        <v>0</v>
      </c>
    </row>
    <row r="109" spans="1:2" ht="15" customHeight="1" x14ac:dyDescent="0.35">
      <c r="A109">
        <f>IF('Bet Log'!M109="W",A108+1,0)</f>
        <v>0</v>
      </c>
      <c r="B109">
        <f>IF('Bet Log'!M109="L",B108+1,0)</f>
        <v>0</v>
      </c>
    </row>
    <row r="110" spans="1:2" ht="15" customHeight="1" x14ac:dyDescent="0.35">
      <c r="A110">
        <f>IF('Bet Log'!M110="W",A109+1,0)</f>
        <v>0</v>
      </c>
      <c r="B110">
        <f>IF('Bet Log'!M110="L",B109+1,0)</f>
        <v>0</v>
      </c>
    </row>
    <row r="111" spans="1:2" ht="15" customHeight="1" x14ac:dyDescent="0.35">
      <c r="A111">
        <f>IF('Bet Log'!M111="W",A110+1,0)</f>
        <v>0</v>
      </c>
      <c r="B111">
        <f>IF('Bet Log'!M111="L",B110+1,0)</f>
        <v>0</v>
      </c>
    </row>
    <row r="112" spans="1:2" ht="15" customHeight="1" x14ac:dyDescent="0.35">
      <c r="A112">
        <f>IF('Bet Log'!M112="W",A111+1,0)</f>
        <v>0</v>
      </c>
      <c r="B112">
        <f>IF('Bet Log'!M112="L",B111+1,0)</f>
        <v>0</v>
      </c>
    </row>
    <row r="113" spans="1:2" ht="15" customHeight="1" x14ac:dyDescent="0.35">
      <c r="A113">
        <f>IF('Bet Log'!M113="W",A112+1,0)</f>
        <v>0</v>
      </c>
      <c r="B113">
        <f>IF('Bet Log'!M113="L",B112+1,0)</f>
        <v>0</v>
      </c>
    </row>
    <row r="114" spans="1:2" ht="15" customHeight="1" x14ac:dyDescent="0.35">
      <c r="A114">
        <f>IF('Bet Log'!M114="W",A113+1,0)</f>
        <v>0</v>
      </c>
      <c r="B114">
        <f>IF('Bet Log'!M114="L",B113+1,0)</f>
        <v>0</v>
      </c>
    </row>
    <row r="115" spans="1:2" ht="15" customHeight="1" x14ac:dyDescent="0.35">
      <c r="A115">
        <f>IF('Bet Log'!M115="W",A114+1,0)</f>
        <v>0</v>
      </c>
      <c r="B115">
        <f>IF('Bet Log'!M115="L",B114+1,0)</f>
        <v>0</v>
      </c>
    </row>
    <row r="116" spans="1:2" ht="15" customHeight="1" x14ac:dyDescent="0.35">
      <c r="A116">
        <f>IF('Bet Log'!M116="W",A115+1,0)</f>
        <v>0</v>
      </c>
      <c r="B116">
        <f>IF('Bet Log'!M116="L",B115+1,0)</f>
        <v>0</v>
      </c>
    </row>
    <row r="117" spans="1:2" ht="15" customHeight="1" x14ac:dyDescent="0.35">
      <c r="A117">
        <f>IF('Bet Log'!M117="W",A116+1,0)</f>
        <v>0</v>
      </c>
      <c r="B117">
        <f>IF('Bet Log'!M117="L",B116+1,0)</f>
        <v>0</v>
      </c>
    </row>
    <row r="118" spans="1:2" ht="15" customHeight="1" x14ac:dyDescent="0.35">
      <c r="A118">
        <f>IF('Bet Log'!M118="W",A117+1,0)</f>
        <v>0</v>
      </c>
      <c r="B118">
        <f>IF('Bet Log'!M118="L",B117+1,0)</f>
        <v>0</v>
      </c>
    </row>
    <row r="119" spans="1:2" ht="15" customHeight="1" x14ac:dyDescent="0.35">
      <c r="A119">
        <f>IF('Bet Log'!M119="W",A118+1,0)</f>
        <v>0</v>
      </c>
      <c r="B119">
        <f>IF('Bet Log'!M119="L",B118+1,0)</f>
        <v>0</v>
      </c>
    </row>
    <row r="120" spans="1:2" ht="15" customHeight="1" x14ac:dyDescent="0.35">
      <c r="A120">
        <f>IF('Bet Log'!M120="W",A119+1,0)</f>
        <v>0</v>
      </c>
      <c r="B120">
        <f>IF('Bet Log'!M120="L",B119+1,0)</f>
        <v>0</v>
      </c>
    </row>
    <row r="121" spans="1:2" ht="15" customHeight="1" x14ac:dyDescent="0.35">
      <c r="A121">
        <f>IF('Bet Log'!M121="W",A120+1,0)</f>
        <v>0</v>
      </c>
      <c r="B121">
        <f>IF('Bet Log'!M121="L",B120+1,0)</f>
        <v>0</v>
      </c>
    </row>
    <row r="122" spans="1:2" ht="15" customHeight="1" x14ac:dyDescent="0.35">
      <c r="A122">
        <f>IF('Bet Log'!M122="W",A121+1,0)</f>
        <v>0</v>
      </c>
      <c r="B122">
        <f>IF('Bet Log'!M122="L",B121+1,0)</f>
        <v>0</v>
      </c>
    </row>
    <row r="123" spans="1:2" ht="15" customHeight="1" x14ac:dyDescent="0.35">
      <c r="A123">
        <f>IF('Bet Log'!M123="W",A122+1,0)</f>
        <v>0</v>
      </c>
      <c r="B123">
        <f>IF('Bet Log'!M123="L",B122+1,0)</f>
        <v>0</v>
      </c>
    </row>
    <row r="124" spans="1:2" ht="15" customHeight="1" x14ac:dyDescent="0.35">
      <c r="A124">
        <f>IF('Bet Log'!M124="W",A123+1,0)</f>
        <v>0</v>
      </c>
      <c r="B124">
        <f>IF('Bet Log'!M124="L",B123+1,0)</f>
        <v>0</v>
      </c>
    </row>
    <row r="125" spans="1:2" ht="15" customHeight="1" x14ac:dyDescent="0.35">
      <c r="A125">
        <f>IF('Bet Log'!M125="W",A124+1,0)</f>
        <v>0</v>
      </c>
      <c r="B125">
        <f>IF('Bet Log'!M125="L",B124+1,0)</f>
        <v>0</v>
      </c>
    </row>
    <row r="126" spans="1:2" ht="15" customHeight="1" x14ac:dyDescent="0.35">
      <c r="A126">
        <f>IF('Bet Log'!M126="W",A125+1,0)</f>
        <v>0</v>
      </c>
      <c r="B126">
        <f>IF('Bet Log'!M126="L",B125+1,0)</f>
        <v>0</v>
      </c>
    </row>
    <row r="127" spans="1:2" ht="15" customHeight="1" x14ac:dyDescent="0.35">
      <c r="A127">
        <f>IF('Bet Log'!M127="W",A126+1,0)</f>
        <v>0</v>
      </c>
      <c r="B127">
        <f>IF('Bet Log'!M127="L",B126+1,0)</f>
        <v>0</v>
      </c>
    </row>
    <row r="128" spans="1:2" ht="15" customHeight="1" x14ac:dyDescent="0.35">
      <c r="A128">
        <f>IF('Bet Log'!M128="W",A127+1,0)</f>
        <v>0</v>
      </c>
      <c r="B128">
        <f>IF('Bet Log'!M128="L",B127+1,0)</f>
        <v>0</v>
      </c>
    </row>
    <row r="129" spans="1:2" ht="15" customHeight="1" x14ac:dyDescent="0.35">
      <c r="A129">
        <f>IF('Bet Log'!M129="W",A128+1,0)</f>
        <v>0</v>
      </c>
      <c r="B129">
        <f>IF('Bet Log'!M129="L",B128+1,0)</f>
        <v>0</v>
      </c>
    </row>
    <row r="130" spans="1:2" ht="15" customHeight="1" x14ac:dyDescent="0.35">
      <c r="A130">
        <f>IF('Bet Log'!M130="W",A129+1,0)</f>
        <v>0</v>
      </c>
      <c r="B130">
        <f>IF('Bet Log'!M130="L",B129+1,0)</f>
        <v>0</v>
      </c>
    </row>
    <row r="131" spans="1:2" ht="15" customHeight="1" x14ac:dyDescent="0.35">
      <c r="A131">
        <f>IF('Bet Log'!M131="W",A130+1,0)</f>
        <v>0</v>
      </c>
      <c r="B131">
        <f>IF('Bet Log'!M131="L",B130+1,0)</f>
        <v>0</v>
      </c>
    </row>
    <row r="132" spans="1:2" ht="15" customHeight="1" x14ac:dyDescent="0.35">
      <c r="A132">
        <f>IF('Bet Log'!M132="W",A131+1,0)</f>
        <v>0</v>
      </c>
      <c r="B132">
        <f>IF('Bet Log'!M132="L",B131+1,0)</f>
        <v>0</v>
      </c>
    </row>
    <row r="133" spans="1:2" ht="15" customHeight="1" x14ac:dyDescent="0.35">
      <c r="A133">
        <f>IF('Bet Log'!M133="W",A132+1,0)</f>
        <v>0</v>
      </c>
      <c r="B133">
        <f>IF('Bet Log'!M133="L",B132+1,0)</f>
        <v>0</v>
      </c>
    </row>
    <row r="134" spans="1:2" ht="15" customHeight="1" x14ac:dyDescent="0.35">
      <c r="A134">
        <f>IF('Bet Log'!M134="W",A133+1,0)</f>
        <v>0</v>
      </c>
      <c r="B134">
        <f>IF('Bet Log'!M134="L",B133+1,0)</f>
        <v>0</v>
      </c>
    </row>
    <row r="135" spans="1:2" ht="15" customHeight="1" x14ac:dyDescent="0.35">
      <c r="A135">
        <f>IF('Bet Log'!M135="W",A134+1,0)</f>
        <v>0</v>
      </c>
      <c r="B135">
        <f>IF('Bet Log'!M135="L",B134+1,0)</f>
        <v>0</v>
      </c>
    </row>
    <row r="136" spans="1:2" ht="15" customHeight="1" x14ac:dyDescent="0.35">
      <c r="A136">
        <f>IF('Bet Log'!M136="W",A135+1,0)</f>
        <v>0</v>
      </c>
      <c r="B136">
        <f>IF('Bet Log'!M136="L",B135+1,0)</f>
        <v>0</v>
      </c>
    </row>
    <row r="137" spans="1:2" ht="15" customHeight="1" x14ac:dyDescent="0.35">
      <c r="A137">
        <f>IF('Bet Log'!M137="W",A136+1,0)</f>
        <v>0</v>
      </c>
      <c r="B137">
        <f>IF('Bet Log'!M137="L",B136+1,0)</f>
        <v>0</v>
      </c>
    </row>
    <row r="138" spans="1:2" ht="15" customHeight="1" x14ac:dyDescent="0.35">
      <c r="A138">
        <f>IF('Bet Log'!M138="W",A137+1,0)</f>
        <v>0</v>
      </c>
      <c r="B138">
        <f>IF('Bet Log'!M138="L",B137+1,0)</f>
        <v>0</v>
      </c>
    </row>
    <row r="139" spans="1:2" ht="15" customHeight="1" x14ac:dyDescent="0.35">
      <c r="A139">
        <f>IF('Bet Log'!M139="W",A138+1,0)</f>
        <v>0</v>
      </c>
      <c r="B139">
        <f>IF('Bet Log'!M139="L",B138+1,0)</f>
        <v>0</v>
      </c>
    </row>
    <row r="140" spans="1:2" ht="15" customHeight="1" x14ac:dyDescent="0.35">
      <c r="A140">
        <f>IF('Bet Log'!M140="W",A139+1,0)</f>
        <v>0</v>
      </c>
      <c r="B140">
        <f>IF('Bet Log'!M140="L",B139+1,0)</f>
        <v>0</v>
      </c>
    </row>
    <row r="141" spans="1:2" ht="15" customHeight="1" x14ac:dyDescent="0.35">
      <c r="A141">
        <f>IF('Bet Log'!M141="W",A140+1,0)</f>
        <v>0</v>
      </c>
      <c r="B141">
        <f>IF('Bet Log'!M141="L",B140+1,0)</f>
        <v>0</v>
      </c>
    </row>
    <row r="142" spans="1:2" ht="15" customHeight="1" x14ac:dyDescent="0.35">
      <c r="A142">
        <f>IF('Bet Log'!M142="W",A141+1,0)</f>
        <v>0</v>
      </c>
      <c r="B142">
        <f>IF('Bet Log'!M142="L",B141+1,0)</f>
        <v>0</v>
      </c>
    </row>
    <row r="143" spans="1:2" ht="15" customHeight="1" x14ac:dyDescent="0.35">
      <c r="A143">
        <f>IF('Bet Log'!M143="W",A142+1,0)</f>
        <v>0</v>
      </c>
      <c r="B143">
        <f>IF('Bet Log'!M143="L",B142+1,0)</f>
        <v>0</v>
      </c>
    </row>
    <row r="144" spans="1:2" ht="15" customHeight="1" x14ac:dyDescent="0.35">
      <c r="A144">
        <f>IF('Bet Log'!M144="W",A143+1,0)</f>
        <v>0</v>
      </c>
      <c r="B144">
        <f>IF('Bet Log'!M144="L",B143+1,0)</f>
        <v>0</v>
      </c>
    </row>
    <row r="145" spans="1:2" ht="15" customHeight="1" x14ac:dyDescent="0.35">
      <c r="A145">
        <f>IF('Bet Log'!M145="W",A144+1,0)</f>
        <v>0</v>
      </c>
      <c r="B145">
        <f>IF('Bet Log'!M145="L",B144+1,0)</f>
        <v>0</v>
      </c>
    </row>
    <row r="146" spans="1:2" ht="15" customHeight="1" x14ac:dyDescent="0.35">
      <c r="A146">
        <f>IF('Bet Log'!M146="W",A145+1,0)</f>
        <v>0</v>
      </c>
      <c r="B146">
        <f>IF('Bet Log'!M146="L",B145+1,0)</f>
        <v>0</v>
      </c>
    </row>
    <row r="147" spans="1:2" ht="15" customHeight="1" x14ac:dyDescent="0.35">
      <c r="A147">
        <f>IF('Bet Log'!M147="W",A146+1,0)</f>
        <v>0</v>
      </c>
      <c r="B147">
        <f>IF('Bet Log'!M147="L",B146+1,0)</f>
        <v>0</v>
      </c>
    </row>
    <row r="148" spans="1:2" ht="15" customHeight="1" x14ac:dyDescent="0.35">
      <c r="A148">
        <f>IF('Bet Log'!M148="W",A147+1,0)</f>
        <v>0</v>
      </c>
      <c r="B148">
        <f>IF('Bet Log'!M148="L",B147+1,0)</f>
        <v>0</v>
      </c>
    </row>
    <row r="149" spans="1:2" ht="15" customHeight="1" x14ac:dyDescent="0.35">
      <c r="A149">
        <f>IF('Bet Log'!M149="W",A148+1,0)</f>
        <v>0</v>
      </c>
      <c r="B149">
        <f>IF('Bet Log'!M149="L",B148+1,0)</f>
        <v>0</v>
      </c>
    </row>
    <row r="150" spans="1:2" ht="15" customHeight="1" x14ac:dyDescent="0.35">
      <c r="A150">
        <f>IF('Bet Log'!M150="W",A149+1,0)</f>
        <v>0</v>
      </c>
      <c r="B150">
        <f>IF('Bet Log'!M150="L",B149+1,0)</f>
        <v>0</v>
      </c>
    </row>
    <row r="151" spans="1:2" ht="15" customHeight="1" x14ac:dyDescent="0.35">
      <c r="A151">
        <f>IF('Bet Log'!M151="W",A150+1,0)</f>
        <v>0</v>
      </c>
      <c r="B151">
        <f>IF('Bet Log'!M151="L",B150+1,0)</f>
        <v>0</v>
      </c>
    </row>
    <row r="152" spans="1:2" ht="15" customHeight="1" x14ac:dyDescent="0.35">
      <c r="A152">
        <f>IF('Bet Log'!M152="W",A151+1,0)</f>
        <v>0</v>
      </c>
      <c r="B152">
        <f>IF('Bet Log'!M152="L",B151+1,0)</f>
        <v>0</v>
      </c>
    </row>
    <row r="153" spans="1:2" ht="15" customHeight="1" x14ac:dyDescent="0.35">
      <c r="A153">
        <f>IF('Bet Log'!M153="W",A152+1,0)</f>
        <v>0</v>
      </c>
      <c r="B153">
        <f>IF('Bet Log'!M153="L",B152+1,0)</f>
        <v>0</v>
      </c>
    </row>
    <row r="154" spans="1:2" ht="15" customHeight="1" x14ac:dyDescent="0.35">
      <c r="A154">
        <f>IF('Bet Log'!M154="W",A153+1,0)</f>
        <v>0</v>
      </c>
      <c r="B154">
        <f>IF('Bet Log'!M154="L",B153+1,0)</f>
        <v>0</v>
      </c>
    </row>
    <row r="155" spans="1:2" ht="15" customHeight="1" x14ac:dyDescent="0.35">
      <c r="A155">
        <f>IF('Bet Log'!M155="W",A154+1,0)</f>
        <v>0</v>
      </c>
      <c r="B155">
        <f>IF('Bet Log'!M155="L",B154+1,0)</f>
        <v>0</v>
      </c>
    </row>
    <row r="156" spans="1:2" ht="15" customHeight="1" x14ac:dyDescent="0.35">
      <c r="A156">
        <f>IF('Bet Log'!M156="W",A155+1,0)</f>
        <v>0</v>
      </c>
      <c r="B156">
        <f>IF('Bet Log'!M156="L",B155+1,0)</f>
        <v>0</v>
      </c>
    </row>
    <row r="157" spans="1:2" ht="15" customHeight="1" x14ac:dyDescent="0.35">
      <c r="A157">
        <f>IF('Bet Log'!M157="W",A156+1,0)</f>
        <v>0</v>
      </c>
      <c r="B157">
        <f>IF('Bet Log'!M157="L",B156+1,0)</f>
        <v>0</v>
      </c>
    </row>
    <row r="158" spans="1:2" ht="15" customHeight="1" x14ac:dyDescent="0.35">
      <c r="A158">
        <f>IF('Bet Log'!M158="W",A157+1,0)</f>
        <v>0</v>
      </c>
      <c r="B158">
        <f>IF('Bet Log'!M158="L",B157+1,0)</f>
        <v>0</v>
      </c>
    </row>
    <row r="159" spans="1:2" ht="15" customHeight="1" x14ac:dyDescent="0.35">
      <c r="A159">
        <f>IF('Bet Log'!M159="W",A158+1,0)</f>
        <v>0</v>
      </c>
      <c r="B159">
        <f>IF('Bet Log'!M159="L",B158+1,0)</f>
        <v>0</v>
      </c>
    </row>
    <row r="160" spans="1:2" ht="15" customHeight="1" x14ac:dyDescent="0.35">
      <c r="A160">
        <f>IF('Bet Log'!M160="W",A159+1,0)</f>
        <v>0</v>
      </c>
      <c r="B160">
        <f>IF('Bet Log'!M160="L",B159+1,0)</f>
        <v>0</v>
      </c>
    </row>
    <row r="161" spans="1:2" ht="15" customHeight="1" x14ac:dyDescent="0.35">
      <c r="A161">
        <f>IF('Bet Log'!M161="W",A160+1,0)</f>
        <v>0</v>
      </c>
      <c r="B161">
        <f>IF('Bet Log'!M161="L",B160+1,0)</f>
        <v>0</v>
      </c>
    </row>
    <row r="162" spans="1:2" ht="15" customHeight="1" x14ac:dyDescent="0.35">
      <c r="A162">
        <f>IF('Bet Log'!M162="W",A161+1,0)</f>
        <v>0</v>
      </c>
      <c r="B162">
        <f>IF('Bet Log'!M162="L",B161+1,0)</f>
        <v>0</v>
      </c>
    </row>
    <row r="163" spans="1:2" ht="15" customHeight="1" x14ac:dyDescent="0.35">
      <c r="A163">
        <f>IF('Bet Log'!M163="W",A162+1,0)</f>
        <v>0</v>
      </c>
      <c r="B163">
        <f>IF('Bet Log'!M163="L",B162+1,0)</f>
        <v>0</v>
      </c>
    </row>
    <row r="164" spans="1:2" ht="15" customHeight="1" x14ac:dyDescent="0.35">
      <c r="A164">
        <f>IF('Bet Log'!M164="W",A163+1,0)</f>
        <v>0</v>
      </c>
      <c r="B164">
        <f>IF('Bet Log'!M164="L",B163+1,0)</f>
        <v>0</v>
      </c>
    </row>
    <row r="165" spans="1:2" ht="15" customHeight="1" x14ac:dyDescent="0.35">
      <c r="A165">
        <f>IF('Bet Log'!M165="W",A164+1,0)</f>
        <v>0</v>
      </c>
      <c r="B165">
        <f>IF('Bet Log'!M165="L",B164+1,0)</f>
        <v>0</v>
      </c>
    </row>
    <row r="166" spans="1:2" ht="15" customHeight="1" x14ac:dyDescent="0.35">
      <c r="A166">
        <f>IF('Bet Log'!M166="W",A165+1,0)</f>
        <v>0</v>
      </c>
      <c r="B166">
        <f>IF('Bet Log'!M166="L",B165+1,0)</f>
        <v>0</v>
      </c>
    </row>
    <row r="167" spans="1:2" ht="15" customHeight="1" x14ac:dyDescent="0.35">
      <c r="A167">
        <f>IF('Bet Log'!M167="W",A166+1,0)</f>
        <v>0</v>
      </c>
      <c r="B167">
        <f>IF('Bet Log'!M167="L",B166+1,0)</f>
        <v>0</v>
      </c>
    </row>
    <row r="168" spans="1:2" ht="15" customHeight="1" x14ac:dyDescent="0.35">
      <c r="A168">
        <f>IF('Bet Log'!M168="W",A167+1,0)</f>
        <v>0</v>
      </c>
      <c r="B168">
        <f>IF('Bet Log'!M168="L",B167+1,0)</f>
        <v>0</v>
      </c>
    </row>
    <row r="169" spans="1:2" ht="15" customHeight="1" x14ac:dyDescent="0.35">
      <c r="A169">
        <f>IF('Bet Log'!M169="W",A168+1,0)</f>
        <v>0</v>
      </c>
      <c r="B169">
        <f>IF('Bet Log'!M169="L",B168+1,0)</f>
        <v>0</v>
      </c>
    </row>
    <row r="170" spans="1:2" ht="15" customHeight="1" x14ac:dyDescent="0.35">
      <c r="A170">
        <f>IF('Bet Log'!M170="W",A169+1,0)</f>
        <v>0</v>
      </c>
      <c r="B170">
        <f>IF('Bet Log'!M170="L",B169+1,0)</f>
        <v>0</v>
      </c>
    </row>
    <row r="171" spans="1:2" ht="15" customHeight="1" x14ac:dyDescent="0.35">
      <c r="A171">
        <f>IF('Bet Log'!M171="W",A170+1,0)</f>
        <v>0</v>
      </c>
      <c r="B171">
        <f>IF('Bet Log'!M171="L",B170+1,0)</f>
        <v>0</v>
      </c>
    </row>
    <row r="172" spans="1:2" ht="15" customHeight="1" x14ac:dyDescent="0.35">
      <c r="A172">
        <f>IF('Bet Log'!M172="W",A171+1,0)</f>
        <v>0</v>
      </c>
      <c r="B172">
        <f>IF('Bet Log'!M172="L",B171+1,0)</f>
        <v>0</v>
      </c>
    </row>
    <row r="173" spans="1:2" ht="15" customHeight="1" x14ac:dyDescent="0.35">
      <c r="A173">
        <f>IF('Bet Log'!M173="W",A172+1,0)</f>
        <v>0</v>
      </c>
      <c r="B173">
        <f>IF('Bet Log'!M173="L",B172+1,0)</f>
        <v>0</v>
      </c>
    </row>
    <row r="174" spans="1:2" ht="15" customHeight="1" x14ac:dyDescent="0.35">
      <c r="A174">
        <f>IF('Bet Log'!M174="W",A173+1,0)</f>
        <v>0</v>
      </c>
      <c r="B174">
        <f>IF('Bet Log'!M174="L",B173+1,0)</f>
        <v>0</v>
      </c>
    </row>
    <row r="175" spans="1:2" ht="15" customHeight="1" x14ac:dyDescent="0.35">
      <c r="A175">
        <f>IF('Bet Log'!M175="W",A174+1,0)</f>
        <v>0</v>
      </c>
      <c r="B175">
        <f>IF('Bet Log'!M175="L",B174+1,0)</f>
        <v>0</v>
      </c>
    </row>
    <row r="176" spans="1:2" ht="15" customHeight="1" x14ac:dyDescent="0.35">
      <c r="A176">
        <f>IF('Bet Log'!M176="W",A175+1,0)</f>
        <v>0</v>
      </c>
      <c r="B176">
        <f>IF('Bet Log'!M176="L",B175+1,0)</f>
        <v>0</v>
      </c>
    </row>
    <row r="177" spans="1:2" ht="15" customHeight="1" x14ac:dyDescent="0.35">
      <c r="A177">
        <f>IF('Bet Log'!M177="W",A176+1,0)</f>
        <v>0</v>
      </c>
      <c r="B177">
        <f>IF('Bet Log'!M177="L",B176+1,0)</f>
        <v>0</v>
      </c>
    </row>
    <row r="178" spans="1:2" ht="15" customHeight="1" x14ac:dyDescent="0.35">
      <c r="A178">
        <f>IF('Bet Log'!M178="W",A177+1,0)</f>
        <v>0</v>
      </c>
      <c r="B178">
        <f>IF('Bet Log'!M178="L",B177+1,0)</f>
        <v>0</v>
      </c>
    </row>
    <row r="179" spans="1:2" ht="15" customHeight="1" x14ac:dyDescent="0.35">
      <c r="A179">
        <f>IF('Bet Log'!M179="W",A178+1,0)</f>
        <v>0</v>
      </c>
      <c r="B179">
        <f>IF('Bet Log'!M179="L",B178+1,0)</f>
        <v>0</v>
      </c>
    </row>
    <row r="180" spans="1:2" ht="15" customHeight="1" x14ac:dyDescent="0.35">
      <c r="A180">
        <f>IF('Bet Log'!M180="W",A179+1,0)</f>
        <v>0</v>
      </c>
      <c r="B180">
        <f>IF('Bet Log'!M180="L",B179+1,0)</f>
        <v>0</v>
      </c>
    </row>
    <row r="181" spans="1:2" ht="15" customHeight="1" x14ac:dyDescent="0.35">
      <c r="A181">
        <f>IF('Bet Log'!M181="W",A180+1,0)</f>
        <v>0</v>
      </c>
      <c r="B181">
        <f>IF('Bet Log'!M181="L",B180+1,0)</f>
        <v>0</v>
      </c>
    </row>
    <row r="182" spans="1:2" ht="15" customHeight="1" x14ac:dyDescent="0.35">
      <c r="A182">
        <f>IF('Bet Log'!M182="W",A181+1,0)</f>
        <v>0</v>
      </c>
      <c r="B182">
        <f>IF('Bet Log'!M182="L",B181+1,0)</f>
        <v>0</v>
      </c>
    </row>
    <row r="183" spans="1:2" ht="15" customHeight="1" x14ac:dyDescent="0.35">
      <c r="A183">
        <f>IF('Bet Log'!M183="W",A182+1,0)</f>
        <v>0</v>
      </c>
      <c r="B183">
        <f>IF('Bet Log'!M183="L",B182+1,0)</f>
        <v>0</v>
      </c>
    </row>
    <row r="184" spans="1:2" ht="15" customHeight="1" x14ac:dyDescent="0.35">
      <c r="A184">
        <f>IF('Bet Log'!M184="W",A183+1,0)</f>
        <v>0</v>
      </c>
      <c r="B184">
        <f>IF('Bet Log'!M184="L",B183+1,0)</f>
        <v>0</v>
      </c>
    </row>
    <row r="185" spans="1:2" ht="15" customHeight="1" x14ac:dyDescent="0.35">
      <c r="A185">
        <f>IF('Bet Log'!M185="W",A184+1,0)</f>
        <v>0</v>
      </c>
      <c r="B185">
        <f>IF('Bet Log'!M185="L",B184+1,0)</f>
        <v>0</v>
      </c>
    </row>
    <row r="186" spans="1:2" ht="15" customHeight="1" x14ac:dyDescent="0.35">
      <c r="A186">
        <f>IF('Bet Log'!M186="W",A185+1,0)</f>
        <v>0</v>
      </c>
      <c r="B186">
        <f>IF('Bet Log'!M186="L",B185+1,0)</f>
        <v>0</v>
      </c>
    </row>
    <row r="187" spans="1:2" ht="15" customHeight="1" x14ac:dyDescent="0.35">
      <c r="A187">
        <f>IF('Bet Log'!M187="W",A186+1,0)</f>
        <v>0</v>
      </c>
      <c r="B187">
        <f>IF('Bet Log'!M187="L",B186+1,0)</f>
        <v>0</v>
      </c>
    </row>
    <row r="188" spans="1:2" ht="15" customHeight="1" x14ac:dyDescent="0.35">
      <c r="A188">
        <f>IF('Bet Log'!M188="W",A187+1,0)</f>
        <v>0</v>
      </c>
      <c r="B188">
        <f>IF('Bet Log'!M188="L",B187+1,0)</f>
        <v>0</v>
      </c>
    </row>
    <row r="189" spans="1:2" ht="15" customHeight="1" x14ac:dyDescent="0.35">
      <c r="A189">
        <f>IF('Bet Log'!M189="W",A188+1,0)</f>
        <v>0</v>
      </c>
      <c r="B189">
        <f>IF('Bet Log'!M189="L",B188+1,0)</f>
        <v>0</v>
      </c>
    </row>
    <row r="190" spans="1:2" ht="15" customHeight="1" x14ac:dyDescent="0.35">
      <c r="A190">
        <f>IF('Bet Log'!M190="W",A189+1,0)</f>
        <v>0</v>
      </c>
      <c r="B190">
        <f>IF('Bet Log'!M190="L",B189+1,0)</f>
        <v>0</v>
      </c>
    </row>
    <row r="191" spans="1:2" ht="15" customHeight="1" x14ac:dyDescent="0.35">
      <c r="A191">
        <f>IF('Bet Log'!M191="W",A190+1,0)</f>
        <v>0</v>
      </c>
      <c r="B191">
        <f>IF('Bet Log'!M191="L",B190+1,0)</f>
        <v>0</v>
      </c>
    </row>
    <row r="192" spans="1:2" ht="15" customHeight="1" x14ac:dyDescent="0.35">
      <c r="A192">
        <f>IF('Bet Log'!M192="W",A191+1,0)</f>
        <v>0</v>
      </c>
      <c r="B192">
        <f>IF('Bet Log'!M192="L",B191+1,0)</f>
        <v>0</v>
      </c>
    </row>
    <row r="193" spans="1:2" ht="15" customHeight="1" x14ac:dyDescent="0.35">
      <c r="A193">
        <f>IF('Bet Log'!M193="W",A192+1,0)</f>
        <v>0</v>
      </c>
      <c r="B193">
        <f>IF('Bet Log'!M193="L",B192+1,0)</f>
        <v>0</v>
      </c>
    </row>
    <row r="194" spans="1:2" ht="15" customHeight="1" x14ac:dyDescent="0.35">
      <c r="A194">
        <f>IF('Bet Log'!M194="W",A193+1,0)</f>
        <v>0</v>
      </c>
      <c r="B194">
        <f>IF('Bet Log'!M194="L",B193+1,0)</f>
        <v>0</v>
      </c>
    </row>
    <row r="195" spans="1:2" ht="15" customHeight="1" x14ac:dyDescent="0.35">
      <c r="A195">
        <f>IF('Bet Log'!M195="W",A194+1,0)</f>
        <v>0</v>
      </c>
      <c r="B195">
        <f>IF('Bet Log'!M195="L",B194+1,0)</f>
        <v>0</v>
      </c>
    </row>
    <row r="196" spans="1:2" ht="15" customHeight="1" x14ac:dyDescent="0.35">
      <c r="A196">
        <f>IF('Bet Log'!M196="W",A195+1,0)</f>
        <v>0</v>
      </c>
      <c r="B196">
        <f>IF('Bet Log'!M196="L",B195+1,0)</f>
        <v>0</v>
      </c>
    </row>
    <row r="197" spans="1:2" ht="15" customHeight="1" x14ac:dyDescent="0.35">
      <c r="A197">
        <f>IF('Bet Log'!M197="W",A196+1,0)</f>
        <v>0</v>
      </c>
      <c r="B197">
        <f>IF('Bet Log'!M197="L",B196+1,0)</f>
        <v>0</v>
      </c>
    </row>
    <row r="198" spans="1:2" ht="15" customHeight="1" x14ac:dyDescent="0.35">
      <c r="A198">
        <f>IF('Bet Log'!M198="W",A197+1,0)</f>
        <v>0</v>
      </c>
      <c r="B198">
        <f>IF('Bet Log'!M198="L",B197+1,0)</f>
        <v>0</v>
      </c>
    </row>
    <row r="199" spans="1:2" ht="15" customHeight="1" x14ac:dyDescent="0.35">
      <c r="A199">
        <f>IF('Bet Log'!M199="W",A198+1,0)</f>
        <v>0</v>
      </c>
      <c r="B199">
        <f>IF('Bet Log'!M199="L",B198+1,0)</f>
        <v>0</v>
      </c>
    </row>
    <row r="200" spans="1:2" ht="15" customHeight="1" x14ac:dyDescent="0.35">
      <c r="A200">
        <f>IF('Bet Log'!M200="W",A199+1,0)</f>
        <v>0</v>
      </c>
      <c r="B200">
        <f>IF('Bet Log'!M200="L",B199+1,0)</f>
        <v>0</v>
      </c>
    </row>
    <row r="201" spans="1:2" ht="15" customHeight="1" x14ac:dyDescent="0.35">
      <c r="A201">
        <f>IF('Bet Log'!M201="W",A200+1,0)</f>
        <v>0</v>
      </c>
      <c r="B201">
        <f>IF('Bet Log'!M201="L",B200+1,0)</f>
        <v>0</v>
      </c>
    </row>
    <row r="202" spans="1:2" ht="15" customHeight="1" x14ac:dyDescent="0.35">
      <c r="A202">
        <f>IF('Bet Log'!M202="W",A201+1,0)</f>
        <v>0</v>
      </c>
      <c r="B202">
        <f>IF('Bet Log'!M202="L",B201+1,0)</f>
        <v>0</v>
      </c>
    </row>
    <row r="203" spans="1:2" ht="15" customHeight="1" x14ac:dyDescent="0.35">
      <c r="A203">
        <f>IF('Bet Log'!M203="W",A202+1,0)</f>
        <v>0</v>
      </c>
      <c r="B203">
        <f>IF('Bet Log'!M203="L",B202+1,0)</f>
        <v>0</v>
      </c>
    </row>
    <row r="204" spans="1:2" ht="15" customHeight="1" x14ac:dyDescent="0.35">
      <c r="A204">
        <f>IF('Bet Log'!M204="W",A203+1,0)</f>
        <v>0</v>
      </c>
      <c r="B204">
        <f>IF('Bet Log'!M204="L",B203+1,0)</f>
        <v>0</v>
      </c>
    </row>
    <row r="205" spans="1:2" ht="15" customHeight="1" x14ac:dyDescent="0.35">
      <c r="A205">
        <f>IF('Bet Log'!M205="W",A204+1,0)</f>
        <v>0</v>
      </c>
      <c r="B205">
        <f>IF('Bet Log'!M205="L",B204+1,0)</f>
        <v>0</v>
      </c>
    </row>
    <row r="206" spans="1:2" ht="15" customHeight="1" x14ac:dyDescent="0.35">
      <c r="A206">
        <f>IF('Bet Log'!M206="W",A205+1,0)</f>
        <v>0</v>
      </c>
      <c r="B206">
        <f>IF('Bet Log'!M206="L",B205+1,0)</f>
        <v>0</v>
      </c>
    </row>
    <row r="207" spans="1:2" ht="15" customHeight="1" x14ac:dyDescent="0.35">
      <c r="A207">
        <f>IF('Bet Log'!M207="W",A206+1,0)</f>
        <v>0</v>
      </c>
      <c r="B207">
        <f>IF('Bet Log'!M207="L",B206+1,0)</f>
        <v>0</v>
      </c>
    </row>
    <row r="208" spans="1:2" ht="15" customHeight="1" x14ac:dyDescent="0.35">
      <c r="A208">
        <f>IF('Bet Log'!M208="W",A207+1,0)</f>
        <v>0</v>
      </c>
      <c r="B208">
        <f>IF('Bet Log'!M208="L",B207+1,0)</f>
        <v>0</v>
      </c>
    </row>
    <row r="209" spans="1:2" ht="15" customHeight="1" x14ac:dyDescent="0.35">
      <c r="A209">
        <f>IF('Bet Log'!M209="W",A208+1,0)</f>
        <v>0</v>
      </c>
      <c r="B209">
        <f>IF('Bet Log'!M209="L",B208+1,0)</f>
        <v>0</v>
      </c>
    </row>
    <row r="210" spans="1:2" ht="15" customHeight="1" x14ac:dyDescent="0.35">
      <c r="A210">
        <f>IF('Bet Log'!M210="W",A209+1,0)</f>
        <v>0</v>
      </c>
      <c r="B210">
        <f>IF('Bet Log'!M210="L",B209+1,0)</f>
        <v>0</v>
      </c>
    </row>
    <row r="211" spans="1:2" ht="15" customHeight="1" x14ac:dyDescent="0.35">
      <c r="A211">
        <f>IF('Bet Log'!M211="W",A210+1,0)</f>
        <v>0</v>
      </c>
      <c r="B211">
        <f>IF('Bet Log'!M211="L",B210+1,0)</f>
        <v>0</v>
      </c>
    </row>
    <row r="212" spans="1:2" ht="15" customHeight="1" x14ac:dyDescent="0.35">
      <c r="A212">
        <f>IF('Bet Log'!M212="W",A211+1,0)</f>
        <v>0</v>
      </c>
      <c r="B212">
        <f>IF('Bet Log'!M212="L",B211+1,0)</f>
        <v>0</v>
      </c>
    </row>
    <row r="213" spans="1:2" ht="15" customHeight="1" x14ac:dyDescent="0.35">
      <c r="A213">
        <f>IF('Bet Log'!M213="W",A212+1,0)</f>
        <v>0</v>
      </c>
      <c r="B213">
        <f>IF('Bet Log'!M213="L",B212+1,0)</f>
        <v>0</v>
      </c>
    </row>
    <row r="214" spans="1:2" ht="15" customHeight="1" x14ac:dyDescent="0.35">
      <c r="A214">
        <f>IF('Bet Log'!M214="W",A213+1,0)</f>
        <v>0</v>
      </c>
      <c r="B214">
        <f>IF('Bet Log'!M214="L",B213+1,0)</f>
        <v>0</v>
      </c>
    </row>
    <row r="215" spans="1:2" ht="15" customHeight="1" x14ac:dyDescent="0.35">
      <c r="A215">
        <f>IF('Bet Log'!M215="W",A214+1,0)</f>
        <v>0</v>
      </c>
      <c r="B215">
        <f>IF('Bet Log'!M215="L",B214+1,0)</f>
        <v>0</v>
      </c>
    </row>
    <row r="216" spans="1:2" ht="15" customHeight="1" x14ac:dyDescent="0.35">
      <c r="A216">
        <f>IF('Bet Log'!M216="W",A215+1,0)</f>
        <v>0</v>
      </c>
      <c r="B216">
        <f>IF('Bet Log'!M216="L",B215+1,0)</f>
        <v>0</v>
      </c>
    </row>
    <row r="217" spans="1:2" ht="15" customHeight="1" x14ac:dyDescent="0.35">
      <c r="A217">
        <f>IF('Bet Log'!M217="W",A216+1,0)</f>
        <v>0</v>
      </c>
      <c r="B217">
        <f>IF('Bet Log'!M217="L",B216+1,0)</f>
        <v>0</v>
      </c>
    </row>
    <row r="218" spans="1:2" ht="15" customHeight="1" x14ac:dyDescent="0.35">
      <c r="A218">
        <f>IF('Bet Log'!M218="W",A217+1,0)</f>
        <v>0</v>
      </c>
      <c r="B218">
        <f>IF('Bet Log'!M218="L",B217+1,0)</f>
        <v>0</v>
      </c>
    </row>
    <row r="219" spans="1:2" ht="15" customHeight="1" x14ac:dyDescent="0.35">
      <c r="A219">
        <f>IF('Bet Log'!M219="W",A218+1,0)</f>
        <v>0</v>
      </c>
      <c r="B219">
        <f>IF('Bet Log'!M219="L",B218+1,0)</f>
        <v>0</v>
      </c>
    </row>
    <row r="220" spans="1:2" ht="15" customHeight="1" x14ac:dyDescent="0.35">
      <c r="A220">
        <f>IF('Bet Log'!M220="W",A219+1,0)</f>
        <v>0</v>
      </c>
      <c r="B220">
        <f>IF('Bet Log'!M220="L",B219+1,0)</f>
        <v>0</v>
      </c>
    </row>
    <row r="221" spans="1:2" ht="15" customHeight="1" x14ac:dyDescent="0.35">
      <c r="A221">
        <f>IF('Bet Log'!M221="W",A220+1,0)</f>
        <v>0</v>
      </c>
      <c r="B221">
        <f>IF('Bet Log'!M221="L",B220+1,0)</f>
        <v>0</v>
      </c>
    </row>
    <row r="222" spans="1:2" ht="15" customHeight="1" x14ac:dyDescent="0.35">
      <c r="A222">
        <f>IF('Bet Log'!M222="W",A221+1,0)</f>
        <v>0</v>
      </c>
      <c r="B222">
        <f>IF('Bet Log'!M222="L",B221+1,0)</f>
        <v>0</v>
      </c>
    </row>
    <row r="223" spans="1:2" ht="15" customHeight="1" x14ac:dyDescent="0.35">
      <c r="A223">
        <f>IF('Bet Log'!M223="W",A222+1,0)</f>
        <v>0</v>
      </c>
      <c r="B223">
        <f>IF('Bet Log'!M223="L",B222+1,0)</f>
        <v>0</v>
      </c>
    </row>
    <row r="224" spans="1:2" ht="15" customHeight="1" x14ac:dyDescent="0.35">
      <c r="A224">
        <f>IF('Bet Log'!M224="W",A223+1,0)</f>
        <v>0</v>
      </c>
      <c r="B224">
        <f>IF('Bet Log'!M224="L",B223+1,0)</f>
        <v>0</v>
      </c>
    </row>
    <row r="225" spans="1:2" ht="15" customHeight="1" x14ac:dyDescent="0.35">
      <c r="A225">
        <f>IF('Bet Log'!M225="W",A224+1,0)</f>
        <v>0</v>
      </c>
      <c r="B225">
        <f>IF('Bet Log'!M225="L",B224+1,0)</f>
        <v>0</v>
      </c>
    </row>
    <row r="226" spans="1:2" ht="15" customHeight="1" x14ac:dyDescent="0.35">
      <c r="A226">
        <f>IF('Bet Log'!M226="W",A225+1,0)</f>
        <v>0</v>
      </c>
      <c r="B226">
        <f>IF('Bet Log'!M226="L",B225+1,0)</f>
        <v>0</v>
      </c>
    </row>
    <row r="227" spans="1:2" ht="15" customHeight="1" x14ac:dyDescent="0.35">
      <c r="A227">
        <f>IF('Bet Log'!M227="W",A226+1,0)</f>
        <v>0</v>
      </c>
      <c r="B227">
        <f>IF('Bet Log'!M227="L",B226+1,0)</f>
        <v>0</v>
      </c>
    </row>
    <row r="228" spans="1:2" ht="15" customHeight="1" x14ac:dyDescent="0.35">
      <c r="A228">
        <f>IF('Bet Log'!M228="W",A227+1,0)</f>
        <v>0</v>
      </c>
      <c r="B228">
        <f>IF('Bet Log'!M228="L",B227+1,0)</f>
        <v>0</v>
      </c>
    </row>
    <row r="229" spans="1:2" ht="15" customHeight="1" x14ac:dyDescent="0.35">
      <c r="A229">
        <f>IF('Bet Log'!M229="W",A228+1,0)</f>
        <v>0</v>
      </c>
      <c r="B229">
        <f>IF('Bet Log'!M229="L",B228+1,0)</f>
        <v>0</v>
      </c>
    </row>
    <row r="230" spans="1:2" ht="15" customHeight="1" x14ac:dyDescent="0.35">
      <c r="A230">
        <f>IF('Bet Log'!M230="W",A229+1,0)</f>
        <v>0</v>
      </c>
      <c r="B230">
        <f>IF('Bet Log'!M230="L",B229+1,0)</f>
        <v>0</v>
      </c>
    </row>
    <row r="231" spans="1:2" ht="15" customHeight="1" x14ac:dyDescent="0.35">
      <c r="A231">
        <f>IF('Bet Log'!M231="W",A230+1,0)</f>
        <v>0</v>
      </c>
      <c r="B231">
        <f>IF('Bet Log'!M231="L",B230+1,0)</f>
        <v>0</v>
      </c>
    </row>
    <row r="232" spans="1:2" ht="15" customHeight="1" x14ac:dyDescent="0.35">
      <c r="A232">
        <f>IF('Bet Log'!M232="W",A231+1,0)</f>
        <v>0</v>
      </c>
      <c r="B232">
        <f>IF('Bet Log'!M232="L",B231+1,0)</f>
        <v>0</v>
      </c>
    </row>
    <row r="233" spans="1:2" ht="15" customHeight="1" x14ac:dyDescent="0.35">
      <c r="A233">
        <f>IF('Bet Log'!M233="W",A232+1,0)</f>
        <v>0</v>
      </c>
      <c r="B233">
        <f>IF('Bet Log'!M233="L",B232+1,0)</f>
        <v>0</v>
      </c>
    </row>
    <row r="234" spans="1:2" ht="15" customHeight="1" x14ac:dyDescent="0.35">
      <c r="A234">
        <f>IF('Bet Log'!M234="W",A233+1,0)</f>
        <v>0</v>
      </c>
      <c r="B234">
        <f>IF('Bet Log'!M234="L",B233+1,0)</f>
        <v>0</v>
      </c>
    </row>
    <row r="235" spans="1:2" ht="15" customHeight="1" x14ac:dyDescent="0.35">
      <c r="A235">
        <f>IF('Bet Log'!M235="W",A234+1,0)</f>
        <v>0</v>
      </c>
      <c r="B235">
        <f>IF('Bet Log'!M235="L",B234+1,0)</f>
        <v>0</v>
      </c>
    </row>
    <row r="236" spans="1:2" ht="15" customHeight="1" x14ac:dyDescent="0.35">
      <c r="A236">
        <f>IF('Bet Log'!M236="W",A235+1,0)</f>
        <v>0</v>
      </c>
      <c r="B236">
        <f>IF('Bet Log'!M236="L",B235+1,0)</f>
        <v>0</v>
      </c>
    </row>
    <row r="237" spans="1:2" ht="15" customHeight="1" x14ac:dyDescent="0.35">
      <c r="A237">
        <f>IF('Bet Log'!M237="W",A236+1,0)</f>
        <v>0</v>
      </c>
      <c r="B237">
        <f>IF('Bet Log'!M237="L",B236+1,0)</f>
        <v>0</v>
      </c>
    </row>
    <row r="238" spans="1:2" ht="15" customHeight="1" x14ac:dyDescent="0.35">
      <c r="A238">
        <f>IF('Bet Log'!M238="W",A237+1,0)</f>
        <v>0</v>
      </c>
      <c r="B238">
        <f>IF('Bet Log'!M238="L",B237+1,0)</f>
        <v>0</v>
      </c>
    </row>
    <row r="239" spans="1:2" ht="15" customHeight="1" x14ac:dyDescent="0.35">
      <c r="A239">
        <f>IF('Bet Log'!M239="W",A238+1,0)</f>
        <v>0</v>
      </c>
      <c r="B239">
        <f>IF('Bet Log'!M239="L",B238+1,0)</f>
        <v>0</v>
      </c>
    </row>
    <row r="240" spans="1:2" ht="15" customHeight="1" x14ac:dyDescent="0.35">
      <c r="A240">
        <f>IF('Bet Log'!M240="W",A239+1,0)</f>
        <v>0</v>
      </c>
      <c r="B240">
        <f>IF('Bet Log'!M240="L",B239+1,0)</f>
        <v>0</v>
      </c>
    </row>
    <row r="241" spans="1:2" ht="15" customHeight="1" x14ac:dyDescent="0.35">
      <c r="A241">
        <f>IF('Bet Log'!M241="W",A240+1,0)</f>
        <v>0</v>
      </c>
      <c r="B241">
        <f>IF('Bet Log'!M241="L",B240+1,0)</f>
        <v>0</v>
      </c>
    </row>
    <row r="242" spans="1:2" ht="15" customHeight="1" x14ac:dyDescent="0.35">
      <c r="A242">
        <f>IF('Bet Log'!M242="W",A241+1,0)</f>
        <v>0</v>
      </c>
      <c r="B242">
        <f>IF('Bet Log'!M242="L",B241+1,0)</f>
        <v>0</v>
      </c>
    </row>
    <row r="243" spans="1:2" ht="15" customHeight="1" x14ac:dyDescent="0.35">
      <c r="A243">
        <f>IF('Bet Log'!M243="W",A242+1,0)</f>
        <v>0</v>
      </c>
      <c r="B243">
        <f>IF('Bet Log'!M243="L",B242+1,0)</f>
        <v>0</v>
      </c>
    </row>
    <row r="244" spans="1:2" ht="15" customHeight="1" x14ac:dyDescent="0.35">
      <c r="A244">
        <f>IF('Bet Log'!M244="W",A243+1,0)</f>
        <v>0</v>
      </c>
      <c r="B244">
        <f>IF('Bet Log'!M244="L",B243+1,0)</f>
        <v>0</v>
      </c>
    </row>
    <row r="245" spans="1:2" ht="15" customHeight="1" x14ac:dyDescent="0.35">
      <c r="A245">
        <f>IF('Bet Log'!M245="W",A244+1,0)</f>
        <v>0</v>
      </c>
      <c r="B245">
        <f>IF('Bet Log'!M245="L",B244+1,0)</f>
        <v>0</v>
      </c>
    </row>
    <row r="246" spans="1:2" ht="15" customHeight="1" x14ac:dyDescent="0.35">
      <c r="A246">
        <f>IF('Bet Log'!M246="W",A245+1,0)</f>
        <v>0</v>
      </c>
      <c r="B246">
        <f>IF('Bet Log'!M246="L",B245+1,0)</f>
        <v>0</v>
      </c>
    </row>
    <row r="247" spans="1:2" ht="15" customHeight="1" x14ac:dyDescent="0.35">
      <c r="A247">
        <f>IF('Bet Log'!M247="W",A246+1,0)</f>
        <v>0</v>
      </c>
      <c r="B247">
        <f>IF('Bet Log'!M247="L",B246+1,0)</f>
        <v>0</v>
      </c>
    </row>
    <row r="248" spans="1:2" ht="15" customHeight="1" x14ac:dyDescent="0.35">
      <c r="A248">
        <f>IF('Bet Log'!M248="W",A247+1,0)</f>
        <v>0</v>
      </c>
      <c r="B248">
        <f>IF('Bet Log'!M248="L",B247+1,0)</f>
        <v>0</v>
      </c>
    </row>
    <row r="249" spans="1:2" ht="15" customHeight="1" x14ac:dyDescent="0.35">
      <c r="A249">
        <f>IF('Bet Log'!M249="W",A248+1,0)</f>
        <v>0</v>
      </c>
      <c r="B249">
        <f>IF('Bet Log'!M249="L",B248+1,0)</f>
        <v>0</v>
      </c>
    </row>
    <row r="250" spans="1:2" ht="15" customHeight="1" x14ac:dyDescent="0.35">
      <c r="A250">
        <f>IF('Bet Log'!M250="W",A249+1,0)</f>
        <v>0</v>
      </c>
      <c r="B250">
        <f>IF('Bet Log'!M250="L",B249+1,0)</f>
        <v>0</v>
      </c>
    </row>
    <row r="251" spans="1:2" ht="15" customHeight="1" x14ac:dyDescent="0.35">
      <c r="A251">
        <f>IF('Bet Log'!M251="W",A250+1,0)</f>
        <v>0</v>
      </c>
      <c r="B251">
        <f>IF('Bet Log'!M251="L",B250+1,0)</f>
        <v>0</v>
      </c>
    </row>
    <row r="252" spans="1:2" ht="15" customHeight="1" x14ac:dyDescent="0.35">
      <c r="A252">
        <f>IF('Bet Log'!M252="W",A251+1,0)</f>
        <v>0</v>
      </c>
      <c r="B252">
        <f>IF('Bet Log'!M252="L",B251+1,0)</f>
        <v>0</v>
      </c>
    </row>
    <row r="253" spans="1:2" ht="15" customHeight="1" x14ac:dyDescent="0.35">
      <c r="A253">
        <f>IF('Bet Log'!M253="W",A252+1,0)</f>
        <v>0</v>
      </c>
      <c r="B253">
        <f>IF('Bet Log'!M253="L",B252+1,0)</f>
        <v>0</v>
      </c>
    </row>
    <row r="254" spans="1:2" ht="15" customHeight="1" x14ac:dyDescent="0.35">
      <c r="A254">
        <f>IF('Bet Log'!M254="W",A253+1,0)</f>
        <v>0</v>
      </c>
      <c r="B254">
        <f>IF('Bet Log'!M254="L",B253+1,0)</f>
        <v>0</v>
      </c>
    </row>
    <row r="255" spans="1:2" ht="15" customHeight="1" x14ac:dyDescent="0.35">
      <c r="A255">
        <f>IF('Bet Log'!M255="W",A254+1,0)</f>
        <v>0</v>
      </c>
      <c r="B255">
        <f>IF('Bet Log'!M255="L",B254+1,0)</f>
        <v>0</v>
      </c>
    </row>
    <row r="256" spans="1:2" ht="15" customHeight="1" x14ac:dyDescent="0.35">
      <c r="A256">
        <f>IF('Bet Log'!M256="W",A255+1,0)</f>
        <v>0</v>
      </c>
      <c r="B256">
        <f>IF('Bet Log'!M256="L",B255+1,0)</f>
        <v>0</v>
      </c>
    </row>
    <row r="257" spans="1:2" ht="15" customHeight="1" x14ac:dyDescent="0.35">
      <c r="A257">
        <f>IF('Bet Log'!M257="W",A256+1,0)</f>
        <v>0</v>
      </c>
      <c r="B257">
        <f>IF('Bet Log'!M257="L",B256+1,0)</f>
        <v>0</v>
      </c>
    </row>
    <row r="258" spans="1:2" ht="15" customHeight="1" x14ac:dyDescent="0.35">
      <c r="A258">
        <f>IF('Bet Log'!M258="W",A257+1,0)</f>
        <v>0</v>
      </c>
      <c r="B258">
        <f>IF('Bet Log'!M258="L",B257+1,0)</f>
        <v>0</v>
      </c>
    </row>
    <row r="259" spans="1:2" ht="15" customHeight="1" x14ac:dyDescent="0.35">
      <c r="A259">
        <f>IF('Bet Log'!M259="W",A258+1,0)</f>
        <v>0</v>
      </c>
      <c r="B259">
        <f>IF('Bet Log'!M259="L",B258+1,0)</f>
        <v>0</v>
      </c>
    </row>
    <row r="260" spans="1:2" ht="15" customHeight="1" x14ac:dyDescent="0.35">
      <c r="A260">
        <f>IF('Bet Log'!M260="W",A259+1,0)</f>
        <v>0</v>
      </c>
      <c r="B260">
        <f>IF('Bet Log'!M260="L",B259+1,0)</f>
        <v>0</v>
      </c>
    </row>
    <row r="261" spans="1:2" ht="15" customHeight="1" x14ac:dyDescent="0.35">
      <c r="A261">
        <f>IF('Bet Log'!M261="W",A260+1,0)</f>
        <v>0</v>
      </c>
      <c r="B261">
        <f>IF('Bet Log'!M261="L",B260+1,0)</f>
        <v>0</v>
      </c>
    </row>
    <row r="262" spans="1:2" ht="15" customHeight="1" x14ac:dyDescent="0.35">
      <c r="A262">
        <f>IF('Bet Log'!M262="W",A261+1,0)</f>
        <v>0</v>
      </c>
      <c r="B262">
        <f>IF('Bet Log'!M262="L",B261+1,0)</f>
        <v>0</v>
      </c>
    </row>
    <row r="263" spans="1:2" ht="15" customHeight="1" x14ac:dyDescent="0.35">
      <c r="A263">
        <f>IF('Bet Log'!M263="W",A262+1,0)</f>
        <v>0</v>
      </c>
      <c r="B263">
        <f>IF('Bet Log'!M263="L",B262+1,0)</f>
        <v>0</v>
      </c>
    </row>
    <row r="264" spans="1:2" ht="15" customHeight="1" x14ac:dyDescent="0.35">
      <c r="A264">
        <f>IF('Bet Log'!M264="W",A263+1,0)</f>
        <v>0</v>
      </c>
      <c r="B264">
        <f>IF('Bet Log'!M264="L",B263+1,0)</f>
        <v>0</v>
      </c>
    </row>
    <row r="265" spans="1:2" ht="15" customHeight="1" x14ac:dyDescent="0.35">
      <c r="A265">
        <f>IF('Bet Log'!M265="W",A264+1,0)</f>
        <v>0</v>
      </c>
      <c r="B265">
        <f>IF('Bet Log'!M265="L",B264+1,0)</f>
        <v>0</v>
      </c>
    </row>
    <row r="266" spans="1:2" ht="15" customHeight="1" x14ac:dyDescent="0.35">
      <c r="A266">
        <f>IF('Bet Log'!M266="W",A265+1,0)</f>
        <v>0</v>
      </c>
      <c r="B266">
        <f>IF('Bet Log'!M266="L",B265+1,0)</f>
        <v>0</v>
      </c>
    </row>
    <row r="267" spans="1:2" ht="15" customHeight="1" x14ac:dyDescent="0.35">
      <c r="A267">
        <f>IF('Bet Log'!M267="W",A266+1,0)</f>
        <v>0</v>
      </c>
      <c r="B267">
        <f>IF('Bet Log'!M267="L",B266+1,0)</f>
        <v>0</v>
      </c>
    </row>
    <row r="268" spans="1:2" ht="15" customHeight="1" x14ac:dyDescent="0.35">
      <c r="A268">
        <f>IF('Bet Log'!M268="W",A267+1,0)</f>
        <v>0</v>
      </c>
      <c r="B268">
        <f>IF('Bet Log'!M268="L",B267+1,0)</f>
        <v>0</v>
      </c>
    </row>
    <row r="269" spans="1:2" ht="15" customHeight="1" x14ac:dyDescent="0.35">
      <c r="A269">
        <f>IF('Bet Log'!M269="W",A268+1,0)</f>
        <v>0</v>
      </c>
      <c r="B269">
        <f>IF('Bet Log'!M269="L",B268+1,0)</f>
        <v>0</v>
      </c>
    </row>
    <row r="270" spans="1:2" ht="15" customHeight="1" x14ac:dyDescent="0.35">
      <c r="A270">
        <f>IF('Bet Log'!M270="W",A269+1,0)</f>
        <v>0</v>
      </c>
      <c r="B270">
        <f>IF('Bet Log'!M270="L",B269+1,0)</f>
        <v>0</v>
      </c>
    </row>
    <row r="271" spans="1:2" ht="15" customHeight="1" x14ac:dyDescent="0.35">
      <c r="A271">
        <f>IF('Bet Log'!M271="W",A270+1,0)</f>
        <v>0</v>
      </c>
      <c r="B271">
        <f>IF('Bet Log'!M271="L",B270+1,0)</f>
        <v>0</v>
      </c>
    </row>
    <row r="272" spans="1:2" ht="15" customHeight="1" x14ac:dyDescent="0.35">
      <c r="A272">
        <f>IF('Bet Log'!M272="W",A271+1,0)</f>
        <v>0</v>
      </c>
      <c r="B272">
        <f>IF('Bet Log'!M272="L",B271+1,0)</f>
        <v>0</v>
      </c>
    </row>
    <row r="273" spans="1:2" ht="15" customHeight="1" x14ac:dyDescent="0.35">
      <c r="A273">
        <f>IF('Bet Log'!M273="W",A272+1,0)</f>
        <v>0</v>
      </c>
      <c r="B273">
        <f>IF('Bet Log'!M273="L",B272+1,0)</f>
        <v>0</v>
      </c>
    </row>
    <row r="274" spans="1:2" ht="15" customHeight="1" x14ac:dyDescent="0.35">
      <c r="A274">
        <f>IF('Bet Log'!M274="W",A273+1,0)</f>
        <v>0</v>
      </c>
      <c r="B274">
        <f>IF('Bet Log'!M274="L",B273+1,0)</f>
        <v>0</v>
      </c>
    </row>
    <row r="275" spans="1:2" ht="15" customHeight="1" x14ac:dyDescent="0.35">
      <c r="A275">
        <f>IF('Bet Log'!M275="W",A274+1,0)</f>
        <v>0</v>
      </c>
      <c r="B275">
        <f>IF('Bet Log'!M275="L",B274+1,0)</f>
        <v>0</v>
      </c>
    </row>
    <row r="276" spans="1:2" ht="15" customHeight="1" x14ac:dyDescent="0.35">
      <c r="A276">
        <f>IF('Bet Log'!M276="W",A275+1,0)</f>
        <v>0</v>
      </c>
      <c r="B276">
        <f>IF('Bet Log'!M276="L",B275+1,0)</f>
        <v>0</v>
      </c>
    </row>
    <row r="277" spans="1:2" ht="15" customHeight="1" x14ac:dyDescent="0.35">
      <c r="A277">
        <f>IF('Bet Log'!M277="W",A276+1,0)</f>
        <v>0</v>
      </c>
      <c r="B277">
        <f>IF('Bet Log'!M277="L",B276+1,0)</f>
        <v>0</v>
      </c>
    </row>
    <row r="278" spans="1:2" ht="15" customHeight="1" x14ac:dyDescent="0.35">
      <c r="A278">
        <f>IF('Bet Log'!M278="W",A277+1,0)</f>
        <v>0</v>
      </c>
      <c r="B278">
        <f>IF('Bet Log'!M278="L",B277+1,0)</f>
        <v>0</v>
      </c>
    </row>
    <row r="279" spans="1:2" ht="15" customHeight="1" x14ac:dyDescent="0.35">
      <c r="A279">
        <f>IF('Bet Log'!M279="W",A278+1,0)</f>
        <v>0</v>
      </c>
      <c r="B279">
        <f>IF('Bet Log'!M279="L",B278+1,0)</f>
        <v>0</v>
      </c>
    </row>
    <row r="280" spans="1:2" ht="15" customHeight="1" x14ac:dyDescent="0.35">
      <c r="A280">
        <f>IF('Bet Log'!M280="W",A279+1,0)</f>
        <v>0</v>
      </c>
      <c r="B280">
        <f>IF('Bet Log'!M280="L",B279+1,0)</f>
        <v>0</v>
      </c>
    </row>
    <row r="281" spans="1:2" ht="15" customHeight="1" x14ac:dyDescent="0.35">
      <c r="A281">
        <f>IF('Bet Log'!M281="W",A280+1,0)</f>
        <v>0</v>
      </c>
      <c r="B281">
        <f>IF('Bet Log'!M281="L",B280+1,0)</f>
        <v>0</v>
      </c>
    </row>
    <row r="282" spans="1:2" ht="15" customHeight="1" x14ac:dyDescent="0.35">
      <c r="A282">
        <f>IF('Bet Log'!M282="W",A281+1,0)</f>
        <v>0</v>
      </c>
      <c r="B282">
        <f>IF('Bet Log'!M282="L",B281+1,0)</f>
        <v>0</v>
      </c>
    </row>
    <row r="283" spans="1:2" ht="15" customHeight="1" x14ac:dyDescent="0.35">
      <c r="A283">
        <f>IF('Bet Log'!M283="W",A282+1,0)</f>
        <v>0</v>
      </c>
      <c r="B283">
        <f>IF('Bet Log'!M283="L",B282+1,0)</f>
        <v>0</v>
      </c>
    </row>
    <row r="284" spans="1:2" ht="15" customHeight="1" x14ac:dyDescent="0.35">
      <c r="A284">
        <f>IF('Bet Log'!M284="W",A283+1,0)</f>
        <v>0</v>
      </c>
      <c r="B284">
        <f>IF('Bet Log'!M284="L",B283+1,0)</f>
        <v>0</v>
      </c>
    </row>
    <row r="285" spans="1:2" ht="15" customHeight="1" x14ac:dyDescent="0.35">
      <c r="A285">
        <f>IF('Bet Log'!M285="W",A284+1,0)</f>
        <v>0</v>
      </c>
      <c r="B285">
        <f>IF('Bet Log'!M285="L",B284+1,0)</f>
        <v>0</v>
      </c>
    </row>
    <row r="286" spans="1:2" ht="15" customHeight="1" x14ac:dyDescent="0.35">
      <c r="A286">
        <f>IF('Bet Log'!M286="W",A285+1,0)</f>
        <v>0</v>
      </c>
      <c r="B286">
        <f>IF('Bet Log'!M286="L",B285+1,0)</f>
        <v>0</v>
      </c>
    </row>
    <row r="287" spans="1:2" ht="15" customHeight="1" x14ac:dyDescent="0.35">
      <c r="A287">
        <f>IF('Bet Log'!M287="W",A286+1,0)</f>
        <v>0</v>
      </c>
      <c r="B287">
        <f>IF('Bet Log'!M287="L",B286+1,0)</f>
        <v>0</v>
      </c>
    </row>
    <row r="288" spans="1:2" ht="15" customHeight="1" x14ac:dyDescent="0.35">
      <c r="A288">
        <f>IF('Bet Log'!M288="W",A287+1,0)</f>
        <v>0</v>
      </c>
      <c r="B288">
        <f>IF('Bet Log'!M288="L",B287+1,0)</f>
        <v>0</v>
      </c>
    </row>
    <row r="289" spans="1:2" ht="15" customHeight="1" x14ac:dyDescent="0.35">
      <c r="A289">
        <f>IF('Bet Log'!M289="W",A288+1,0)</f>
        <v>0</v>
      </c>
      <c r="B289">
        <f>IF('Bet Log'!M289="L",B288+1,0)</f>
        <v>0</v>
      </c>
    </row>
    <row r="290" spans="1:2" ht="15" customHeight="1" x14ac:dyDescent="0.35">
      <c r="A290">
        <f>IF('Bet Log'!M290="W",A289+1,0)</f>
        <v>0</v>
      </c>
      <c r="B290">
        <f>IF('Bet Log'!M290="L",B289+1,0)</f>
        <v>0</v>
      </c>
    </row>
    <row r="291" spans="1:2" ht="15" customHeight="1" x14ac:dyDescent="0.35">
      <c r="A291">
        <f>IF('Bet Log'!M291="W",A290+1,0)</f>
        <v>0</v>
      </c>
      <c r="B291">
        <f>IF('Bet Log'!M291="L",B290+1,0)</f>
        <v>0</v>
      </c>
    </row>
    <row r="292" spans="1:2" ht="15" customHeight="1" x14ac:dyDescent="0.35">
      <c r="A292">
        <f>IF('Bet Log'!M292="W",A291+1,0)</f>
        <v>0</v>
      </c>
      <c r="B292">
        <f>IF('Bet Log'!M292="L",B291+1,0)</f>
        <v>0</v>
      </c>
    </row>
    <row r="293" spans="1:2" ht="15" customHeight="1" x14ac:dyDescent="0.35">
      <c r="A293">
        <f>IF('Bet Log'!M293="W",A292+1,0)</f>
        <v>0</v>
      </c>
      <c r="B293">
        <f>IF('Bet Log'!M293="L",B292+1,0)</f>
        <v>0</v>
      </c>
    </row>
    <row r="294" spans="1:2" ht="15" customHeight="1" x14ac:dyDescent="0.35">
      <c r="A294">
        <f>IF('Bet Log'!M294="W",A293+1,0)</f>
        <v>0</v>
      </c>
      <c r="B294">
        <f>IF('Bet Log'!M294="L",B293+1,0)</f>
        <v>0</v>
      </c>
    </row>
    <row r="295" spans="1:2" ht="15" customHeight="1" x14ac:dyDescent="0.35">
      <c r="A295">
        <f>IF('Bet Log'!M295="W",A294+1,0)</f>
        <v>0</v>
      </c>
      <c r="B295">
        <f>IF('Bet Log'!M295="L",B294+1,0)</f>
        <v>0</v>
      </c>
    </row>
    <row r="296" spans="1:2" ht="15" customHeight="1" x14ac:dyDescent="0.35">
      <c r="A296">
        <f>IF('Bet Log'!M296="W",A295+1,0)</f>
        <v>0</v>
      </c>
      <c r="B296">
        <f>IF('Bet Log'!M296="L",B295+1,0)</f>
        <v>0</v>
      </c>
    </row>
    <row r="297" spans="1:2" ht="15" customHeight="1" x14ac:dyDescent="0.35">
      <c r="A297">
        <f>IF('Bet Log'!M297="W",A296+1,0)</f>
        <v>0</v>
      </c>
      <c r="B297">
        <f>IF('Bet Log'!M297="L",B296+1,0)</f>
        <v>0</v>
      </c>
    </row>
    <row r="298" spans="1:2" ht="15" customHeight="1" x14ac:dyDescent="0.35">
      <c r="A298">
        <f>IF('Bet Log'!M298="W",A297+1,0)</f>
        <v>0</v>
      </c>
      <c r="B298">
        <f>IF('Bet Log'!M298="L",B297+1,0)</f>
        <v>0</v>
      </c>
    </row>
    <row r="299" spans="1:2" ht="15" customHeight="1" x14ac:dyDescent="0.35">
      <c r="A299">
        <f>IF('Bet Log'!M299="W",A298+1,0)</f>
        <v>0</v>
      </c>
      <c r="B299">
        <f>IF('Bet Log'!M299="L",B298+1,0)</f>
        <v>0</v>
      </c>
    </row>
    <row r="300" spans="1:2" ht="15" customHeight="1" x14ac:dyDescent="0.35">
      <c r="A300">
        <f>IF('Bet Log'!M300="W",A299+1,0)</f>
        <v>0</v>
      </c>
      <c r="B300">
        <f>IF('Bet Log'!M300="L",B299+1,0)</f>
        <v>0</v>
      </c>
    </row>
    <row r="301" spans="1:2" ht="15" customHeight="1" x14ac:dyDescent="0.35">
      <c r="A301">
        <f>IF('Bet Log'!M301="W",A300+1,0)</f>
        <v>0</v>
      </c>
      <c r="B301">
        <f>IF('Bet Log'!M301="L",B300+1,0)</f>
        <v>0</v>
      </c>
    </row>
    <row r="302" spans="1:2" ht="15" customHeight="1" x14ac:dyDescent="0.35">
      <c r="A302">
        <f>IF('Bet Log'!M302="W",A301+1,0)</f>
        <v>0</v>
      </c>
      <c r="B302">
        <f>IF('Bet Log'!M302="L",B301+1,0)</f>
        <v>0</v>
      </c>
    </row>
    <row r="303" spans="1:2" ht="15" customHeight="1" x14ac:dyDescent="0.35">
      <c r="A303">
        <f>IF('Bet Log'!M303="W",A302+1,0)</f>
        <v>0</v>
      </c>
      <c r="B303">
        <f>IF('Bet Log'!M303="L",B302+1,0)</f>
        <v>0</v>
      </c>
    </row>
    <row r="304" spans="1:2" ht="15" customHeight="1" x14ac:dyDescent="0.35">
      <c r="A304">
        <f>IF('Bet Log'!M304="W",A303+1,0)</f>
        <v>0</v>
      </c>
      <c r="B304">
        <f>IF('Bet Log'!M304="L",B303+1,0)</f>
        <v>0</v>
      </c>
    </row>
    <row r="305" spans="1:2" ht="15" customHeight="1" x14ac:dyDescent="0.35">
      <c r="A305">
        <f>IF('Bet Log'!M305="W",A304+1,0)</f>
        <v>0</v>
      </c>
      <c r="B305">
        <f>IF('Bet Log'!M305="L",B304+1,0)</f>
        <v>0</v>
      </c>
    </row>
    <row r="306" spans="1:2" ht="15" customHeight="1" x14ac:dyDescent="0.35">
      <c r="A306">
        <f>IF('Bet Log'!M306="W",A305+1,0)</f>
        <v>0</v>
      </c>
      <c r="B306">
        <f>IF('Bet Log'!M306="L",B305+1,0)</f>
        <v>0</v>
      </c>
    </row>
    <row r="307" spans="1:2" ht="15" customHeight="1" x14ac:dyDescent="0.35">
      <c r="A307">
        <f>IF('Bet Log'!M307="W",A306+1,0)</f>
        <v>0</v>
      </c>
      <c r="B307">
        <f>IF('Bet Log'!M307="L",B306+1,0)</f>
        <v>0</v>
      </c>
    </row>
    <row r="308" spans="1:2" ht="15" customHeight="1" x14ac:dyDescent="0.35">
      <c r="A308">
        <f>IF('Bet Log'!M308="W",A307+1,0)</f>
        <v>0</v>
      </c>
      <c r="B308">
        <f>IF('Bet Log'!M308="L",B307+1,0)</f>
        <v>0</v>
      </c>
    </row>
    <row r="309" spans="1:2" ht="15" customHeight="1" x14ac:dyDescent="0.35">
      <c r="A309">
        <f>IF('Bet Log'!M309="W",A308+1,0)</f>
        <v>0</v>
      </c>
      <c r="B309">
        <f>IF('Bet Log'!M309="L",B308+1,0)</f>
        <v>0</v>
      </c>
    </row>
    <row r="310" spans="1:2" ht="15" customHeight="1" x14ac:dyDescent="0.35">
      <c r="A310">
        <f>IF('Bet Log'!M310="W",A309+1,0)</f>
        <v>0</v>
      </c>
      <c r="B310">
        <f>IF('Bet Log'!M310="L",B309+1,0)</f>
        <v>0</v>
      </c>
    </row>
    <row r="311" spans="1:2" ht="15" customHeight="1" x14ac:dyDescent="0.35">
      <c r="A311">
        <f>IF('Bet Log'!M311="W",A310+1,0)</f>
        <v>0</v>
      </c>
      <c r="B311">
        <f>IF('Bet Log'!M311="L",B310+1,0)</f>
        <v>0</v>
      </c>
    </row>
    <row r="312" spans="1:2" ht="15" customHeight="1" x14ac:dyDescent="0.35">
      <c r="A312">
        <f>IF('Bet Log'!M312="W",A311+1,0)</f>
        <v>0</v>
      </c>
      <c r="B312">
        <f>IF('Bet Log'!M312="L",B311+1,0)</f>
        <v>0</v>
      </c>
    </row>
    <row r="313" spans="1:2" ht="15" customHeight="1" x14ac:dyDescent="0.35">
      <c r="A313">
        <f>IF('Bet Log'!M313="W",A312+1,0)</f>
        <v>0</v>
      </c>
      <c r="B313">
        <f>IF('Bet Log'!M313="L",B312+1,0)</f>
        <v>0</v>
      </c>
    </row>
    <row r="314" spans="1:2" ht="15" customHeight="1" x14ac:dyDescent="0.35">
      <c r="A314">
        <f>IF('Bet Log'!M314="W",A313+1,0)</f>
        <v>0</v>
      </c>
      <c r="B314">
        <f>IF('Bet Log'!M314="L",B313+1,0)</f>
        <v>0</v>
      </c>
    </row>
    <row r="315" spans="1:2" ht="15" customHeight="1" x14ac:dyDescent="0.35">
      <c r="A315">
        <f>IF('Bet Log'!M315="W",A314+1,0)</f>
        <v>0</v>
      </c>
      <c r="B315">
        <f>IF('Bet Log'!M315="L",B314+1,0)</f>
        <v>0</v>
      </c>
    </row>
    <row r="316" spans="1:2" ht="15" customHeight="1" x14ac:dyDescent="0.35">
      <c r="A316">
        <f>IF('Bet Log'!M316="W",A315+1,0)</f>
        <v>0</v>
      </c>
      <c r="B316">
        <f>IF('Bet Log'!M316="L",B315+1,0)</f>
        <v>0</v>
      </c>
    </row>
    <row r="317" spans="1:2" ht="15" customHeight="1" x14ac:dyDescent="0.35">
      <c r="A317">
        <f>IF('Bet Log'!M317="W",A316+1,0)</f>
        <v>0</v>
      </c>
      <c r="B317">
        <f>IF('Bet Log'!M317="L",B316+1,0)</f>
        <v>0</v>
      </c>
    </row>
    <row r="318" spans="1:2" ht="15" customHeight="1" x14ac:dyDescent="0.35">
      <c r="A318">
        <f>IF('Bet Log'!M318="W",A317+1,0)</f>
        <v>0</v>
      </c>
      <c r="B318">
        <f>IF('Bet Log'!M318="L",B317+1,0)</f>
        <v>0</v>
      </c>
    </row>
    <row r="319" spans="1:2" ht="15" customHeight="1" x14ac:dyDescent="0.35">
      <c r="A319">
        <f>IF('Bet Log'!M319="W",A318+1,0)</f>
        <v>0</v>
      </c>
      <c r="B319">
        <f>IF('Bet Log'!M319="L",B318+1,0)</f>
        <v>0</v>
      </c>
    </row>
    <row r="320" spans="1:2" ht="15" customHeight="1" x14ac:dyDescent="0.35">
      <c r="A320">
        <f>IF('Bet Log'!M320="W",A319+1,0)</f>
        <v>0</v>
      </c>
      <c r="B320">
        <f>IF('Bet Log'!M320="L",B319+1,0)</f>
        <v>0</v>
      </c>
    </row>
    <row r="321" spans="1:2" ht="15" customHeight="1" x14ac:dyDescent="0.35">
      <c r="A321">
        <f>IF('Bet Log'!M321="W",A320+1,0)</f>
        <v>0</v>
      </c>
      <c r="B321">
        <f>IF('Bet Log'!M321="L",B320+1,0)</f>
        <v>0</v>
      </c>
    </row>
    <row r="322" spans="1:2" ht="15" customHeight="1" x14ac:dyDescent="0.35">
      <c r="A322">
        <f>IF('Bet Log'!M322="W",A321+1,0)</f>
        <v>0</v>
      </c>
      <c r="B322">
        <f>IF('Bet Log'!M322="L",B321+1,0)</f>
        <v>0</v>
      </c>
    </row>
    <row r="323" spans="1:2" ht="15" customHeight="1" x14ac:dyDescent="0.35">
      <c r="A323">
        <f>IF('Bet Log'!M323="W",A322+1,0)</f>
        <v>0</v>
      </c>
      <c r="B323">
        <f>IF('Bet Log'!M323="L",B322+1,0)</f>
        <v>0</v>
      </c>
    </row>
    <row r="324" spans="1:2" ht="15" customHeight="1" x14ac:dyDescent="0.35">
      <c r="A324">
        <f>IF('Bet Log'!M324="W",A323+1,0)</f>
        <v>0</v>
      </c>
      <c r="B324">
        <f>IF('Bet Log'!M324="L",B323+1,0)</f>
        <v>0</v>
      </c>
    </row>
    <row r="325" spans="1:2" ht="15" customHeight="1" x14ac:dyDescent="0.35">
      <c r="A325">
        <f>IF('Bet Log'!M325="W",A324+1,0)</f>
        <v>0</v>
      </c>
      <c r="B325">
        <f>IF('Bet Log'!M325="L",B324+1,0)</f>
        <v>0</v>
      </c>
    </row>
    <row r="326" spans="1:2" ht="15" customHeight="1" x14ac:dyDescent="0.35">
      <c r="A326">
        <f>IF('Bet Log'!M326="W",A325+1,0)</f>
        <v>0</v>
      </c>
      <c r="B326">
        <f>IF('Bet Log'!M326="L",B325+1,0)</f>
        <v>0</v>
      </c>
    </row>
    <row r="327" spans="1:2" ht="15" customHeight="1" x14ac:dyDescent="0.35">
      <c r="A327">
        <f>IF('Bet Log'!M327="W",A326+1,0)</f>
        <v>0</v>
      </c>
      <c r="B327">
        <f>IF('Bet Log'!M327="L",B326+1,0)</f>
        <v>0</v>
      </c>
    </row>
    <row r="328" spans="1:2" ht="15" customHeight="1" x14ac:dyDescent="0.35">
      <c r="A328">
        <f>IF('Bet Log'!M328="W",A327+1,0)</f>
        <v>0</v>
      </c>
      <c r="B328">
        <f>IF('Bet Log'!M328="L",B327+1,0)</f>
        <v>0</v>
      </c>
    </row>
    <row r="329" spans="1:2" ht="15" customHeight="1" x14ac:dyDescent="0.35">
      <c r="A329">
        <f>IF('Bet Log'!M329="W",A328+1,0)</f>
        <v>0</v>
      </c>
      <c r="B329">
        <f>IF('Bet Log'!M329="L",B328+1,0)</f>
        <v>0</v>
      </c>
    </row>
    <row r="330" spans="1:2" ht="15" customHeight="1" x14ac:dyDescent="0.35">
      <c r="A330">
        <f>IF('Bet Log'!M330="W",A329+1,0)</f>
        <v>0</v>
      </c>
      <c r="B330">
        <f>IF('Bet Log'!M330="L",B329+1,0)</f>
        <v>0</v>
      </c>
    </row>
    <row r="331" spans="1:2" ht="15" customHeight="1" x14ac:dyDescent="0.35">
      <c r="A331">
        <f>IF('Bet Log'!M331="W",A330+1,0)</f>
        <v>0</v>
      </c>
      <c r="B331">
        <f>IF('Bet Log'!M331="L",B330+1,0)</f>
        <v>0</v>
      </c>
    </row>
    <row r="332" spans="1:2" ht="15" customHeight="1" x14ac:dyDescent="0.35">
      <c r="A332">
        <f>IF('Bet Log'!M332="W",A331+1,0)</f>
        <v>0</v>
      </c>
      <c r="B332">
        <f>IF('Bet Log'!M332="L",B331+1,0)</f>
        <v>0</v>
      </c>
    </row>
    <row r="333" spans="1:2" ht="15" customHeight="1" x14ac:dyDescent="0.35">
      <c r="A333">
        <f>IF('Bet Log'!M333="W",A332+1,0)</f>
        <v>0</v>
      </c>
      <c r="B333">
        <f>IF('Bet Log'!M333="L",B332+1,0)</f>
        <v>0</v>
      </c>
    </row>
    <row r="334" spans="1:2" ht="15" customHeight="1" x14ac:dyDescent="0.35">
      <c r="A334">
        <f>IF('Bet Log'!M334="W",A333+1,0)</f>
        <v>0</v>
      </c>
      <c r="B334">
        <f>IF('Bet Log'!M334="L",B333+1,0)</f>
        <v>0</v>
      </c>
    </row>
    <row r="335" spans="1:2" ht="15" customHeight="1" x14ac:dyDescent="0.35">
      <c r="A335">
        <f>IF('Bet Log'!M335="W",A334+1,0)</f>
        <v>0</v>
      </c>
      <c r="B335">
        <f>IF('Bet Log'!M335="L",B334+1,0)</f>
        <v>0</v>
      </c>
    </row>
    <row r="336" spans="1:2" ht="15" customHeight="1" x14ac:dyDescent="0.35">
      <c r="A336">
        <f>IF('Bet Log'!M336="W",A335+1,0)</f>
        <v>0</v>
      </c>
      <c r="B336">
        <f>IF('Bet Log'!M336="L",B335+1,0)</f>
        <v>0</v>
      </c>
    </row>
    <row r="337" spans="1:2" ht="15" customHeight="1" x14ac:dyDescent="0.35">
      <c r="A337">
        <f>IF('Bet Log'!M337="W",A336+1,0)</f>
        <v>0</v>
      </c>
      <c r="B337">
        <f>IF('Bet Log'!M337="L",B336+1,0)</f>
        <v>0</v>
      </c>
    </row>
    <row r="338" spans="1:2" ht="15" customHeight="1" x14ac:dyDescent="0.35">
      <c r="A338">
        <f>IF('Bet Log'!M338="W",A337+1,0)</f>
        <v>0</v>
      </c>
      <c r="B338">
        <f>IF('Bet Log'!M338="L",B337+1,0)</f>
        <v>0</v>
      </c>
    </row>
    <row r="339" spans="1:2" ht="15" customHeight="1" x14ac:dyDescent="0.35">
      <c r="A339">
        <f>IF('Bet Log'!M339="W",A338+1,0)</f>
        <v>0</v>
      </c>
      <c r="B339">
        <f>IF('Bet Log'!M339="L",B338+1,0)</f>
        <v>0</v>
      </c>
    </row>
    <row r="340" spans="1:2" ht="15" customHeight="1" x14ac:dyDescent="0.35">
      <c r="A340">
        <f>IF('Bet Log'!M340="W",A339+1,0)</f>
        <v>0</v>
      </c>
      <c r="B340">
        <f>IF('Bet Log'!M340="L",B339+1,0)</f>
        <v>0</v>
      </c>
    </row>
    <row r="341" spans="1:2" ht="15" customHeight="1" x14ac:dyDescent="0.35">
      <c r="A341">
        <f>IF('Bet Log'!M341="W",A340+1,0)</f>
        <v>0</v>
      </c>
      <c r="B341">
        <f>IF('Bet Log'!M341="L",B340+1,0)</f>
        <v>0</v>
      </c>
    </row>
    <row r="342" spans="1:2" ht="15" customHeight="1" x14ac:dyDescent="0.35">
      <c r="A342">
        <f>IF('Bet Log'!M342="W",A341+1,0)</f>
        <v>0</v>
      </c>
      <c r="B342">
        <f>IF('Bet Log'!M342="L",B341+1,0)</f>
        <v>0</v>
      </c>
    </row>
    <row r="343" spans="1:2" ht="15" customHeight="1" x14ac:dyDescent="0.35">
      <c r="A343">
        <f>IF('Bet Log'!M343="W",A342+1,0)</f>
        <v>0</v>
      </c>
      <c r="B343">
        <f>IF('Bet Log'!M343="L",B342+1,0)</f>
        <v>0</v>
      </c>
    </row>
    <row r="344" spans="1:2" ht="15" customHeight="1" x14ac:dyDescent="0.35">
      <c r="A344">
        <f>IF('Bet Log'!M344="W",A343+1,0)</f>
        <v>0</v>
      </c>
      <c r="B344">
        <f>IF('Bet Log'!M344="L",B343+1,0)</f>
        <v>0</v>
      </c>
    </row>
    <row r="345" spans="1:2" ht="15" customHeight="1" x14ac:dyDescent="0.35">
      <c r="A345">
        <f>IF('Bet Log'!M345="W",A344+1,0)</f>
        <v>0</v>
      </c>
      <c r="B345">
        <f>IF('Bet Log'!M345="L",B344+1,0)</f>
        <v>0</v>
      </c>
    </row>
    <row r="346" spans="1:2" ht="15" customHeight="1" x14ac:dyDescent="0.35">
      <c r="A346">
        <f>IF('Bet Log'!M346="W",A345+1,0)</f>
        <v>0</v>
      </c>
      <c r="B346">
        <f>IF('Bet Log'!M346="L",B345+1,0)</f>
        <v>0</v>
      </c>
    </row>
    <row r="347" spans="1:2" ht="15" customHeight="1" x14ac:dyDescent="0.35">
      <c r="A347">
        <f>IF('Bet Log'!M347="W",A346+1,0)</f>
        <v>0</v>
      </c>
      <c r="B347">
        <f>IF('Bet Log'!M347="L",B346+1,0)</f>
        <v>0</v>
      </c>
    </row>
    <row r="348" spans="1:2" ht="15" customHeight="1" x14ac:dyDescent="0.35">
      <c r="A348">
        <f>IF('Bet Log'!M348="W",A347+1,0)</f>
        <v>0</v>
      </c>
      <c r="B348">
        <f>IF('Bet Log'!M348="L",B347+1,0)</f>
        <v>0</v>
      </c>
    </row>
    <row r="349" spans="1:2" ht="15" customHeight="1" x14ac:dyDescent="0.35">
      <c r="A349">
        <f>IF('Bet Log'!M349="W",A348+1,0)</f>
        <v>0</v>
      </c>
      <c r="B349">
        <f>IF('Bet Log'!M349="L",B348+1,0)</f>
        <v>0</v>
      </c>
    </row>
    <row r="350" spans="1:2" ht="15" customHeight="1" x14ac:dyDescent="0.35">
      <c r="A350">
        <f>IF('Bet Log'!M350="W",A349+1,0)</f>
        <v>0</v>
      </c>
      <c r="B350">
        <f>IF('Bet Log'!M350="L",B349+1,0)</f>
        <v>0</v>
      </c>
    </row>
    <row r="351" spans="1:2" ht="15" customHeight="1" x14ac:dyDescent="0.35">
      <c r="A351">
        <f>IF('Bet Log'!M351="W",A350+1,0)</f>
        <v>0</v>
      </c>
      <c r="B351">
        <f>IF('Bet Log'!M351="L",B350+1,0)</f>
        <v>0</v>
      </c>
    </row>
    <row r="352" spans="1:2" ht="15" customHeight="1" x14ac:dyDescent="0.35">
      <c r="A352">
        <f>IF('Bet Log'!M352="W",A351+1,0)</f>
        <v>0</v>
      </c>
      <c r="B352">
        <f>IF('Bet Log'!M352="L",B351+1,0)</f>
        <v>0</v>
      </c>
    </row>
    <row r="353" spans="1:2" ht="15" customHeight="1" x14ac:dyDescent="0.35">
      <c r="A353">
        <f>IF('Bet Log'!M353="W",A352+1,0)</f>
        <v>0</v>
      </c>
      <c r="B353">
        <f>IF('Bet Log'!M353="L",B352+1,0)</f>
        <v>0</v>
      </c>
    </row>
    <row r="354" spans="1:2" ht="15" customHeight="1" x14ac:dyDescent="0.35">
      <c r="A354">
        <f>IF('Bet Log'!M354="W",A353+1,0)</f>
        <v>0</v>
      </c>
      <c r="B354">
        <f>IF('Bet Log'!M354="L",B353+1,0)</f>
        <v>0</v>
      </c>
    </row>
    <row r="355" spans="1:2" ht="15" customHeight="1" x14ac:dyDescent="0.35">
      <c r="A355">
        <f>IF('Bet Log'!M355="W",A354+1,0)</f>
        <v>0</v>
      </c>
      <c r="B355">
        <f>IF('Bet Log'!M355="L",B354+1,0)</f>
        <v>0</v>
      </c>
    </row>
    <row r="356" spans="1:2" ht="15" customHeight="1" x14ac:dyDescent="0.35">
      <c r="A356">
        <f>IF('Bet Log'!M356="W",A355+1,0)</f>
        <v>0</v>
      </c>
      <c r="B356">
        <f>IF('Bet Log'!M356="L",B355+1,0)</f>
        <v>0</v>
      </c>
    </row>
    <row r="357" spans="1:2" ht="15" customHeight="1" x14ac:dyDescent="0.35">
      <c r="A357">
        <f>IF('Bet Log'!M357="W",A356+1,0)</f>
        <v>0</v>
      </c>
      <c r="B357">
        <f>IF('Bet Log'!M357="L",B356+1,0)</f>
        <v>0</v>
      </c>
    </row>
    <row r="358" spans="1:2" ht="15" customHeight="1" x14ac:dyDescent="0.35">
      <c r="A358">
        <f>IF('Bet Log'!M358="W",A357+1,0)</f>
        <v>0</v>
      </c>
      <c r="B358">
        <f>IF('Bet Log'!M358="L",B357+1,0)</f>
        <v>0</v>
      </c>
    </row>
    <row r="359" spans="1:2" ht="15" customHeight="1" x14ac:dyDescent="0.35">
      <c r="A359">
        <f>IF('Bet Log'!M359="W",A358+1,0)</f>
        <v>0</v>
      </c>
      <c r="B359">
        <f>IF('Bet Log'!M359="L",B358+1,0)</f>
        <v>0</v>
      </c>
    </row>
    <row r="360" spans="1:2" ht="15" customHeight="1" x14ac:dyDescent="0.35">
      <c r="A360">
        <f>IF('Bet Log'!M360="W",A359+1,0)</f>
        <v>0</v>
      </c>
      <c r="B360">
        <f>IF('Bet Log'!M360="L",B359+1,0)</f>
        <v>0</v>
      </c>
    </row>
    <row r="361" spans="1:2" ht="15" customHeight="1" x14ac:dyDescent="0.35">
      <c r="A361">
        <f>IF('Bet Log'!M361="W",A360+1,0)</f>
        <v>0</v>
      </c>
      <c r="B361">
        <f>IF('Bet Log'!M361="L",B360+1,0)</f>
        <v>0</v>
      </c>
    </row>
    <row r="362" spans="1:2" ht="15" customHeight="1" x14ac:dyDescent="0.35">
      <c r="A362">
        <f>IF('Bet Log'!M362="W",A361+1,0)</f>
        <v>0</v>
      </c>
      <c r="B362">
        <f>IF('Bet Log'!M362="L",B361+1,0)</f>
        <v>0</v>
      </c>
    </row>
    <row r="363" spans="1:2" ht="15" customHeight="1" x14ac:dyDescent="0.35">
      <c r="A363">
        <f>IF('Bet Log'!M363="W",A362+1,0)</f>
        <v>0</v>
      </c>
      <c r="B363">
        <f>IF('Bet Log'!M363="L",B362+1,0)</f>
        <v>0</v>
      </c>
    </row>
    <row r="364" spans="1:2" ht="15" customHeight="1" x14ac:dyDescent="0.35">
      <c r="A364">
        <f>IF('Bet Log'!M364="W",A363+1,0)</f>
        <v>0</v>
      </c>
      <c r="B364">
        <f>IF('Bet Log'!M364="L",B363+1,0)</f>
        <v>0</v>
      </c>
    </row>
    <row r="365" spans="1:2" ht="15" customHeight="1" x14ac:dyDescent="0.35">
      <c r="A365">
        <f>IF('Bet Log'!M365="W",A364+1,0)</f>
        <v>0</v>
      </c>
      <c r="B365">
        <f>IF('Bet Log'!M365="L",B364+1,0)</f>
        <v>0</v>
      </c>
    </row>
    <row r="366" spans="1:2" ht="15" customHeight="1" x14ac:dyDescent="0.35">
      <c r="A366">
        <f>IF('Bet Log'!M366="W",A365+1,0)</f>
        <v>0</v>
      </c>
      <c r="B366">
        <f>IF('Bet Log'!M366="L",B365+1,0)</f>
        <v>0</v>
      </c>
    </row>
    <row r="367" spans="1:2" ht="15" customHeight="1" x14ac:dyDescent="0.35">
      <c r="A367">
        <f>IF('Bet Log'!M367="W",A366+1,0)</f>
        <v>0</v>
      </c>
      <c r="B367">
        <f>IF('Bet Log'!M367="L",B366+1,0)</f>
        <v>0</v>
      </c>
    </row>
    <row r="368" spans="1:2" ht="15" customHeight="1" x14ac:dyDescent="0.35">
      <c r="A368">
        <f>IF('Bet Log'!M368="W",A367+1,0)</f>
        <v>0</v>
      </c>
      <c r="B368">
        <f>IF('Bet Log'!M368="L",B367+1,0)</f>
        <v>0</v>
      </c>
    </row>
    <row r="369" spans="1:2" ht="15" customHeight="1" x14ac:dyDescent="0.35">
      <c r="A369">
        <f>IF('Bet Log'!M369="W",A368+1,0)</f>
        <v>0</v>
      </c>
      <c r="B369">
        <f>IF('Bet Log'!M369="L",B368+1,0)</f>
        <v>0</v>
      </c>
    </row>
    <row r="370" spans="1:2" ht="15" customHeight="1" x14ac:dyDescent="0.35">
      <c r="A370">
        <f>IF('Bet Log'!M370="W",A369+1,0)</f>
        <v>0</v>
      </c>
      <c r="B370">
        <f>IF('Bet Log'!M370="L",B369+1,0)</f>
        <v>0</v>
      </c>
    </row>
    <row r="371" spans="1:2" ht="15" customHeight="1" x14ac:dyDescent="0.35">
      <c r="A371">
        <f>IF('Bet Log'!M371="W",A370+1,0)</f>
        <v>0</v>
      </c>
      <c r="B371">
        <f>IF('Bet Log'!M371="L",B370+1,0)</f>
        <v>0</v>
      </c>
    </row>
    <row r="372" spans="1:2" ht="15" customHeight="1" x14ac:dyDescent="0.35">
      <c r="A372">
        <f>IF('Bet Log'!M372="W",A371+1,0)</f>
        <v>0</v>
      </c>
      <c r="B372">
        <f>IF('Bet Log'!M372="L",B371+1,0)</f>
        <v>0</v>
      </c>
    </row>
    <row r="373" spans="1:2" ht="15" customHeight="1" x14ac:dyDescent="0.35">
      <c r="A373">
        <f>IF('Bet Log'!M373="W",A372+1,0)</f>
        <v>0</v>
      </c>
      <c r="B373">
        <f>IF('Bet Log'!M373="L",B372+1,0)</f>
        <v>0</v>
      </c>
    </row>
    <row r="374" spans="1:2" ht="15" customHeight="1" x14ac:dyDescent="0.35">
      <c r="A374">
        <f>IF('Bet Log'!M374="W",A373+1,0)</f>
        <v>0</v>
      </c>
      <c r="B374">
        <f>IF('Bet Log'!M374="L",B373+1,0)</f>
        <v>0</v>
      </c>
    </row>
    <row r="375" spans="1:2" ht="15" customHeight="1" x14ac:dyDescent="0.35">
      <c r="A375">
        <f>IF('Bet Log'!M375="W",A374+1,0)</f>
        <v>0</v>
      </c>
      <c r="B375">
        <f>IF('Bet Log'!M375="L",B374+1,0)</f>
        <v>0</v>
      </c>
    </row>
    <row r="376" spans="1:2" ht="15" customHeight="1" x14ac:dyDescent="0.35">
      <c r="A376">
        <f>IF('Bet Log'!M376="W",A375+1,0)</f>
        <v>0</v>
      </c>
      <c r="B376">
        <f>IF('Bet Log'!M376="L",B375+1,0)</f>
        <v>0</v>
      </c>
    </row>
    <row r="377" spans="1:2" ht="15" customHeight="1" x14ac:dyDescent="0.35">
      <c r="A377">
        <f>IF('Bet Log'!M377="W",A376+1,0)</f>
        <v>0</v>
      </c>
      <c r="B377">
        <f>IF('Bet Log'!M377="L",B376+1,0)</f>
        <v>0</v>
      </c>
    </row>
    <row r="378" spans="1:2" ht="15" customHeight="1" x14ac:dyDescent="0.35">
      <c r="A378">
        <f>IF('Bet Log'!M378="W",A377+1,0)</f>
        <v>0</v>
      </c>
      <c r="B378">
        <f>IF('Bet Log'!M378="L",B377+1,0)</f>
        <v>0</v>
      </c>
    </row>
    <row r="379" spans="1:2" ht="15" customHeight="1" x14ac:dyDescent="0.35">
      <c r="A379">
        <f>IF('Bet Log'!M379="W",A378+1,0)</f>
        <v>0</v>
      </c>
      <c r="B379">
        <f>IF('Bet Log'!M379="L",B378+1,0)</f>
        <v>0</v>
      </c>
    </row>
    <row r="380" spans="1:2" ht="15" customHeight="1" x14ac:dyDescent="0.35">
      <c r="A380">
        <f>IF('Bet Log'!M380="W",A379+1,0)</f>
        <v>0</v>
      </c>
      <c r="B380">
        <f>IF('Bet Log'!M380="L",B379+1,0)</f>
        <v>0</v>
      </c>
    </row>
    <row r="381" spans="1:2" ht="15" customHeight="1" x14ac:dyDescent="0.35">
      <c r="A381">
        <f>IF('Bet Log'!M381="W",A380+1,0)</f>
        <v>0</v>
      </c>
      <c r="B381">
        <f>IF('Bet Log'!M381="L",B380+1,0)</f>
        <v>0</v>
      </c>
    </row>
    <row r="382" spans="1:2" ht="15" customHeight="1" x14ac:dyDescent="0.35">
      <c r="A382">
        <f>IF('Bet Log'!M382="W",A381+1,0)</f>
        <v>0</v>
      </c>
      <c r="B382">
        <f>IF('Bet Log'!M382="L",B381+1,0)</f>
        <v>0</v>
      </c>
    </row>
    <row r="383" spans="1:2" ht="15" customHeight="1" x14ac:dyDescent="0.35">
      <c r="A383">
        <f>IF('Bet Log'!M383="W",A382+1,0)</f>
        <v>0</v>
      </c>
      <c r="B383">
        <f>IF('Bet Log'!M383="L",B382+1,0)</f>
        <v>0</v>
      </c>
    </row>
    <row r="384" spans="1:2" ht="15" customHeight="1" x14ac:dyDescent="0.35">
      <c r="A384">
        <f>IF('Bet Log'!M384="W",A383+1,0)</f>
        <v>0</v>
      </c>
      <c r="B384">
        <f>IF('Bet Log'!M384="L",B383+1,0)</f>
        <v>0</v>
      </c>
    </row>
    <row r="385" spans="1:2" ht="15" customHeight="1" x14ac:dyDescent="0.35">
      <c r="A385">
        <f>IF('Bet Log'!M385="W",A384+1,0)</f>
        <v>0</v>
      </c>
      <c r="B385">
        <f>IF('Bet Log'!M385="L",B384+1,0)</f>
        <v>0</v>
      </c>
    </row>
    <row r="386" spans="1:2" ht="15" customHeight="1" x14ac:dyDescent="0.35">
      <c r="A386">
        <f>IF('Bet Log'!M386="W",A385+1,0)</f>
        <v>0</v>
      </c>
      <c r="B386">
        <f>IF('Bet Log'!M386="L",B385+1,0)</f>
        <v>0</v>
      </c>
    </row>
    <row r="387" spans="1:2" ht="15" customHeight="1" x14ac:dyDescent="0.35">
      <c r="A387">
        <f>IF('Bet Log'!M387="W",A386+1,0)</f>
        <v>0</v>
      </c>
      <c r="B387">
        <f>IF('Bet Log'!M387="L",B386+1,0)</f>
        <v>0</v>
      </c>
    </row>
    <row r="388" spans="1:2" ht="15" customHeight="1" x14ac:dyDescent="0.35">
      <c r="A388">
        <f>IF('Bet Log'!M388="W",A387+1,0)</f>
        <v>0</v>
      </c>
      <c r="B388">
        <f>IF('Bet Log'!M388="L",B387+1,0)</f>
        <v>0</v>
      </c>
    </row>
    <row r="389" spans="1:2" ht="15" customHeight="1" x14ac:dyDescent="0.35">
      <c r="A389">
        <f>IF('Bet Log'!M389="W",A388+1,0)</f>
        <v>0</v>
      </c>
      <c r="B389">
        <f>IF('Bet Log'!M389="L",B388+1,0)</f>
        <v>0</v>
      </c>
    </row>
    <row r="390" spans="1:2" ht="15" customHeight="1" x14ac:dyDescent="0.35">
      <c r="A390">
        <f>IF('Bet Log'!M390="W",A389+1,0)</f>
        <v>0</v>
      </c>
      <c r="B390">
        <f>IF('Bet Log'!M390="L",B389+1,0)</f>
        <v>0</v>
      </c>
    </row>
    <row r="391" spans="1:2" ht="15" customHeight="1" x14ac:dyDescent="0.35">
      <c r="A391">
        <f>IF('Bet Log'!M391="W",A390+1,0)</f>
        <v>0</v>
      </c>
      <c r="B391">
        <f>IF('Bet Log'!M391="L",B390+1,0)</f>
        <v>0</v>
      </c>
    </row>
    <row r="392" spans="1:2" ht="15" customHeight="1" x14ac:dyDescent="0.35">
      <c r="A392">
        <f>IF('Bet Log'!M392="W",A391+1,0)</f>
        <v>0</v>
      </c>
      <c r="B392">
        <f>IF('Bet Log'!M392="L",B391+1,0)</f>
        <v>0</v>
      </c>
    </row>
    <row r="393" spans="1:2" ht="15" customHeight="1" x14ac:dyDescent="0.35">
      <c r="A393">
        <f>IF('Bet Log'!M393="W",A392+1,0)</f>
        <v>0</v>
      </c>
      <c r="B393">
        <f>IF('Bet Log'!M393="L",B392+1,0)</f>
        <v>0</v>
      </c>
    </row>
    <row r="394" spans="1:2" ht="15" customHeight="1" x14ac:dyDescent="0.35">
      <c r="A394">
        <f>IF('Bet Log'!M394="W",A393+1,0)</f>
        <v>0</v>
      </c>
      <c r="B394">
        <f>IF('Bet Log'!M394="L",B393+1,0)</f>
        <v>0</v>
      </c>
    </row>
    <row r="395" spans="1:2" ht="15" customHeight="1" x14ac:dyDescent="0.35">
      <c r="A395">
        <f>IF('Bet Log'!M395="W",A394+1,0)</f>
        <v>0</v>
      </c>
      <c r="B395">
        <f>IF('Bet Log'!M395="L",B394+1,0)</f>
        <v>0</v>
      </c>
    </row>
    <row r="396" spans="1:2" ht="15" customHeight="1" x14ac:dyDescent="0.35">
      <c r="A396">
        <f>IF('Bet Log'!M396="W",A395+1,0)</f>
        <v>0</v>
      </c>
      <c r="B396">
        <f>IF('Bet Log'!M396="L",B395+1,0)</f>
        <v>0</v>
      </c>
    </row>
    <row r="397" spans="1:2" ht="15" customHeight="1" x14ac:dyDescent="0.35">
      <c r="A397">
        <f>IF('Bet Log'!M397="W",A396+1,0)</f>
        <v>0</v>
      </c>
      <c r="B397">
        <f>IF('Bet Log'!M397="L",B396+1,0)</f>
        <v>0</v>
      </c>
    </row>
    <row r="398" spans="1:2" ht="15" customHeight="1" x14ac:dyDescent="0.35">
      <c r="A398">
        <f>IF('Bet Log'!M398="W",A397+1,0)</f>
        <v>0</v>
      </c>
      <c r="B398">
        <f>IF('Bet Log'!M398="L",B397+1,0)</f>
        <v>0</v>
      </c>
    </row>
    <row r="399" spans="1:2" ht="15" customHeight="1" x14ac:dyDescent="0.35">
      <c r="A399">
        <f>IF('Bet Log'!M399="W",A398+1,0)</f>
        <v>0</v>
      </c>
      <c r="B399">
        <f>IF('Bet Log'!M399="L",B398+1,0)</f>
        <v>0</v>
      </c>
    </row>
    <row r="400" spans="1:2" ht="15" customHeight="1" x14ac:dyDescent="0.35">
      <c r="A400">
        <f>IF('Bet Log'!M400="W",A399+1,0)</f>
        <v>0</v>
      </c>
      <c r="B400">
        <f>IF('Bet Log'!M400="L",B399+1,0)</f>
        <v>0</v>
      </c>
    </row>
    <row r="401" spans="1:2" ht="15" customHeight="1" x14ac:dyDescent="0.35">
      <c r="A401">
        <f>IF('Bet Log'!M401="W",A400+1,0)</f>
        <v>0</v>
      </c>
      <c r="B401">
        <f>IF('Bet Log'!M401="L",B400+1,0)</f>
        <v>0</v>
      </c>
    </row>
    <row r="402" spans="1:2" ht="15" customHeight="1" x14ac:dyDescent="0.35">
      <c r="A402">
        <f>IF('Bet Log'!M402="W",A401+1,0)</f>
        <v>0</v>
      </c>
      <c r="B402">
        <f>IF('Bet Log'!M402="L",B401+1,0)</f>
        <v>0</v>
      </c>
    </row>
    <row r="403" spans="1:2" ht="15" customHeight="1" x14ac:dyDescent="0.35">
      <c r="A403">
        <f>IF('Bet Log'!M403="W",A402+1,0)</f>
        <v>0</v>
      </c>
      <c r="B403">
        <f>IF('Bet Log'!M403="L",B402+1,0)</f>
        <v>0</v>
      </c>
    </row>
    <row r="404" spans="1:2" ht="15" customHeight="1" x14ac:dyDescent="0.35">
      <c r="A404">
        <f>IF('Bet Log'!M404="W",A403+1,0)</f>
        <v>0</v>
      </c>
      <c r="B404">
        <f>IF('Bet Log'!M404="L",B403+1,0)</f>
        <v>0</v>
      </c>
    </row>
    <row r="405" spans="1:2" ht="15" customHeight="1" x14ac:dyDescent="0.35">
      <c r="A405">
        <f>IF('Bet Log'!M405="W",A404+1,0)</f>
        <v>0</v>
      </c>
      <c r="B405">
        <f>IF('Bet Log'!M405="L",B404+1,0)</f>
        <v>0</v>
      </c>
    </row>
    <row r="406" spans="1:2" ht="15" customHeight="1" x14ac:dyDescent="0.35">
      <c r="A406">
        <f>IF('Bet Log'!M406="W",A405+1,0)</f>
        <v>0</v>
      </c>
      <c r="B406">
        <f>IF('Bet Log'!M406="L",B405+1,0)</f>
        <v>0</v>
      </c>
    </row>
    <row r="407" spans="1:2" ht="15" customHeight="1" x14ac:dyDescent="0.35">
      <c r="A407">
        <f>IF('Bet Log'!M407="W",A406+1,0)</f>
        <v>0</v>
      </c>
      <c r="B407">
        <f>IF('Bet Log'!M407="L",B406+1,0)</f>
        <v>0</v>
      </c>
    </row>
    <row r="408" spans="1:2" ht="15" customHeight="1" x14ac:dyDescent="0.35">
      <c r="A408">
        <f>IF('Bet Log'!M408="W",A407+1,0)</f>
        <v>0</v>
      </c>
      <c r="B408">
        <f>IF('Bet Log'!M408="L",B407+1,0)</f>
        <v>0</v>
      </c>
    </row>
    <row r="409" spans="1:2" ht="15" customHeight="1" x14ac:dyDescent="0.35">
      <c r="A409">
        <f>IF('Bet Log'!M409="W",A408+1,0)</f>
        <v>0</v>
      </c>
      <c r="B409">
        <f>IF('Bet Log'!M409="L",B408+1,0)</f>
        <v>0</v>
      </c>
    </row>
    <row r="410" spans="1:2" ht="15" customHeight="1" x14ac:dyDescent="0.35">
      <c r="A410">
        <f>IF('Bet Log'!M410="W",A409+1,0)</f>
        <v>0</v>
      </c>
      <c r="B410">
        <f>IF('Bet Log'!M410="L",B409+1,0)</f>
        <v>0</v>
      </c>
    </row>
    <row r="411" spans="1:2" ht="15" customHeight="1" x14ac:dyDescent="0.35">
      <c r="A411">
        <f>IF('Bet Log'!M411="W",A410+1,0)</f>
        <v>0</v>
      </c>
      <c r="B411">
        <f>IF('Bet Log'!M411="L",B410+1,0)</f>
        <v>0</v>
      </c>
    </row>
    <row r="412" spans="1:2" ht="15" customHeight="1" x14ac:dyDescent="0.35">
      <c r="A412">
        <f>IF('Bet Log'!M412="W",A411+1,0)</f>
        <v>0</v>
      </c>
      <c r="B412">
        <f>IF('Bet Log'!M412="L",B411+1,0)</f>
        <v>0</v>
      </c>
    </row>
    <row r="413" spans="1:2" ht="15" customHeight="1" x14ac:dyDescent="0.35">
      <c r="A413">
        <f>IF('Bet Log'!M413="W",A412+1,0)</f>
        <v>0</v>
      </c>
      <c r="B413">
        <f>IF('Bet Log'!M413="L",B412+1,0)</f>
        <v>0</v>
      </c>
    </row>
    <row r="414" spans="1:2" ht="15" customHeight="1" x14ac:dyDescent="0.35">
      <c r="A414">
        <f>IF('Bet Log'!M414="W",A413+1,0)</f>
        <v>0</v>
      </c>
      <c r="B414">
        <f>IF('Bet Log'!M414="L",B413+1,0)</f>
        <v>0</v>
      </c>
    </row>
    <row r="415" spans="1:2" ht="15" customHeight="1" x14ac:dyDescent="0.35">
      <c r="A415">
        <f>IF('Bet Log'!M415="W",A414+1,0)</f>
        <v>0</v>
      </c>
      <c r="B415">
        <f>IF('Bet Log'!M415="L",B414+1,0)</f>
        <v>0</v>
      </c>
    </row>
    <row r="416" spans="1:2" ht="15" customHeight="1" x14ac:dyDescent="0.35">
      <c r="A416">
        <f>IF('Bet Log'!M416="W",A415+1,0)</f>
        <v>0</v>
      </c>
      <c r="B416">
        <f>IF('Bet Log'!M416="L",B415+1,0)</f>
        <v>0</v>
      </c>
    </row>
    <row r="417" spans="1:2" ht="15" customHeight="1" x14ac:dyDescent="0.35">
      <c r="A417">
        <f>IF('Bet Log'!M417="W",A416+1,0)</f>
        <v>0</v>
      </c>
      <c r="B417">
        <f>IF('Bet Log'!M417="L",B416+1,0)</f>
        <v>0</v>
      </c>
    </row>
    <row r="418" spans="1:2" ht="15" customHeight="1" x14ac:dyDescent="0.35">
      <c r="A418">
        <f>IF('Bet Log'!M418="W",A417+1,0)</f>
        <v>0</v>
      </c>
      <c r="B418">
        <f>IF('Bet Log'!M418="L",B417+1,0)</f>
        <v>0</v>
      </c>
    </row>
    <row r="419" spans="1:2" ht="15" customHeight="1" x14ac:dyDescent="0.35">
      <c r="A419">
        <f>IF('Bet Log'!M419="W",A418+1,0)</f>
        <v>0</v>
      </c>
      <c r="B419">
        <f>IF('Bet Log'!M419="L",B418+1,0)</f>
        <v>0</v>
      </c>
    </row>
    <row r="420" spans="1:2" ht="15" customHeight="1" x14ac:dyDescent="0.35">
      <c r="A420">
        <f>IF('Bet Log'!M420="W",A419+1,0)</f>
        <v>0</v>
      </c>
      <c r="B420">
        <f>IF('Bet Log'!M420="L",B419+1,0)</f>
        <v>0</v>
      </c>
    </row>
    <row r="421" spans="1:2" ht="15" customHeight="1" x14ac:dyDescent="0.35">
      <c r="A421">
        <f>IF('Bet Log'!M421="W",A420+1,0)</f>
        <v>0</v>
      </c>
      <c r="B421">
        <f>IF('Bet Log'!M421="L",B420+1,0)</f>
        <v>0</v>
      </c>
    </row>
    <row r="422" spans="1:2" ht="15" customHeight="1" x14ac:dyDescent="0.35">
      <c r="A422">
        <f>IF('Bet Log'!M422="W",A421+1,0)</f>
        <v>0</v>
      </c>
      <c r="B422">
        <f>IF('Bet Log'!M422="L",B421+1,0)</f>
        <v>0</v>
      </c>
    </row>
    <row r="423" spans="1:2" ht="15" customHeight="1" x14ac:dyDescent="0.35">
      <c r="A423">
        <f>IF('Bet Log'!M423="W",A422+1,0)</f>
        <v>0</v>
      </c>
      <c r="B423">
        <f>IF('Bet Log'!M423="L",B422+1,0)</f>
        <v>0</v>
      </c>
    </row>
    <row r="424" spans="1:2" ht="15" customHeight="1" x14ac:dyDescent="0.35">
      <c r="A424">
        <f>IF('Bet Log'!M424="W",A423+1,0)</f>
        <v>0</v>
      </c>
      <c r="B424">
        <f>IF('Bet Log'!M424="L",B423+1,0)</f>
        <v>0</v>
      </c>
    </row>
    <row r="425" spans="1:2" ht="15" customHeight="1" x14ac:dyDescent="0.35">
      <c r="A425">
        <f>IF('Bet Log'!M425="W",A424+1,0)</f>
        <v>0</v>
      </c>
      <c r="B425">
        <f>IF('Bet Log'!M425="L",B424+1,0)</f>
        <v>0</v>
      </c>
    </row>
    <row r="426" spans="1:2" ht="15" customHeight="1" x14ac:dyDescent="0.35">
      <c r="A426">
        <f>IF('Bet Log'!M426="W",A425+1,0)</f>
        <v>0</v>
      </c>
      <c r="B426">
        <f>IF('Bet Log'!M426="L",B425+1,0)</f>
        <v>0</v>
      </c>
    </row>
    <row r="427" spans="1:2" ht="15" customHeight="1" x14ac:dyDescent="0.35">
      <c r="A427">
        <f>IF('Bet Log'!M427="W",A426+1,0)</f>
        <v>0</v>
      </c>
      <c r="B427">
        <f>IF('Bet Log'!M427="L",B426+1,0)</f>
        <v>0</v>
      </c>
    </row>
    <row r="428" spans="1:2" ht="15" customHeight="1" x14ac:dyDescent="0.35">
      <c r="A428">
        <f>IF('Bet Log'!M428="W",A427+1,0)</f>
        <v>0</v>
      </c>
      <c r="B428">
        <f>IF('Bet Log'!M428="L",B427+1,0)</f>
        <v>0</v>
      </c>
    </row>
    <row r="429" spans="1:2" ht="15" customHeight="1" x14ac:dyDescent="0.35">
      <c r="A429">
        <f>IF('Bet Log'!M429="W",A428+1,0)</f>
        <v>0</v>
      </c>
      <c r="B429">
        <f>IF('Bet Log'!M429="L",B428+1,0)</f>
        <v>0</v>
      </c>
    </row>
    <row r="430" spans="1:2" ht="15" customHeight="1" x14ac:dyDescent="0.35">
      <c r="A430">
        <f>IF('Bet Log'!M430="W",A429+1,0)</f>
        <v>0</v>
      </c>
      <c r="B430">
        <f>IF('Bet Log'!M430="L",B429+1,0)</f>
        <v>0</v>
      </c>
    </row>
    <row r="431" spans="1:2" ht="15" customHeight="1" x14ac:dyDescent="0.35">
      <c r="A431">
        <f>IF('Bet Log'!M431="W",A430+1,0)</f>
        <v>0</v>
      </c>
      <c r="B431">
        <f>IF('Bet Log'!M431="L",B430+1,0)</f>
        <v>0</v>
      </c>
    </row>
    <row r="432" spans="1:2" ht="15" customHeight="1" x14ac:dyDescent="0.35">
      <c r="A432">
        <f>IF('Bet Log'!M432="W",A431+1,0)</f>
        <v>0</v>
      </c>
      <c r="B432">
        <f>IF('Bet Log'!M432="L",B431+1,0)</f>
        <v>0</v>
      </c>
    </row>
    <row r="433" spans="1:2" ht="15" customHeight="1" x14ac:dyDescent="0.35">
      <c r="A433">
        <f>IF('Bet Log'!M433="W",A432+1,0)</f>
        <v>0</v>
      </c>
      <c r="B433">
        <f>IF('Bet Log'!M433="L",B432+1,0)</f>
        <v>0</v>
      </c>
    </row>
    <row r="434" spans="1:2" ht="15" customHeight="1" x14ac:dyDescent="0.35">
      <c r="A434">
        <f>IF('Bet Log'!M434="W",A433+1,0)</f>
        <v>0</v>
      </c>
      <c r="B434">
        <f>IF('Bet Log'!M434="L",B433+1,0)</f>
        <v>0</v>
      </c>
    </row>
    <row r="435" spans="1:2" ht="15" customHeight="1" x14ac:dyDescent="0.35">
      <c r="A435">
        <f>IF('Bet Log'!M435="W",A434+1,0)</f>
        <v>0</v>
      </c>
      <c r="B435">
        <f>IF('Bet Log'!M435="L",B434+1,0)</f>
        <v>0</v>
      </c>
    </row>
    <row r="436" spans="1:2" ht="15" customHeight="1" x14ac:dyDescent="0.35">
      <c r="A436">
        <f>IF('Bet Log'!M436="W",A435+1,0)</f>
        <v>0</v>
      </c>
      <c r="B436">
        <f>IF('Bet Log'!M436="L",B435+1,0)</f>
        <v>0</v>
      </c>
    </row>
    <row r="437" spans="1:2" ht="15" customHeight="1" x14ac:dyDescent="0.35">
      <c r="A437">
        <f>IF('Bet Log'!M437="W",A436+1,0)</f>
        <v>0</v>
      </c>
      <c r="B437">
        <f>IF('Bet Log'!M437="L",B436+1,0)</f>
        <v>0</v>
      </c>
    </row>
    <row r="438" spans="1:2" ht="15" customHeight="1" x14ac:dyDescent="0.35">
      <c r="A438">
        <f>IF('Bet Log'!M438="W",A437+1,0)</f>
        <v>0</v>
      </c>
      <c r="B438">
        <f>IF('Bet Log'!M438="L",B437+1,0)</f>
        <v>0</v>
      </c>
    </row>
    <row r="439" spans="1:2" ht="15" customHeight="1" x14ac:dyDescent="0.35">
      <c r="A439">
        <f>IF('Bet Log'!M439="W",A438+1,0)</f>
        <v>0</v>
      </c>
      <c r="B439">
        <f>IF('Bet Log'!M439="L",B438+1,0)</f>
        <v>0</v>
      </c>
    </row>
    <row r="440" spans="1:2" ht="15" customHeight="1" x14ac:dyDescent="0.35">
      <c r="A440">
        <f>IF('Bet Log'!M440="W",A439+1,0)</f>
        <v>0</v>
      </c>
      <c r="B440">
        <f>IF('Bet Log'!M440="L",B439+1,0)</f>
        <v>0</v>
      </c>
    </row>
    <row r="441" spans="1:2" ht="15" customHeight="1" x14ac:dyDescent="0.35">
      <c r="A441">
        <f>IF('Bet Log'!M441="W",A440+1,0)</f>
        <v>0</v>
      </c>
      <c r="B441">
        <f>IF('Bet Log'!M441="L",B440+1,0)</f>
        <v>0</v>
      </c>
    </row>
    <row r="442" spans="1:2" ht="15" customHeight="1" x14ac:dyDescent="0.35">
      <c r="A442">
        <f>IF('Bet Log'!M442="W",A441+1,0)</f>
        <v>0</v>
      </c>
      <c r="B442">
        <f>IF('Bet Log'!M442="L",B441+1,0)</f>
        <v>0</v>
      </c>
    </row>
    <row r="443" spans="1:2" ht="15" customHeight="1" x14ac:dyDescent="0.35">
      <c r="A443">
        <f>IF('Bet Log'!M443="W",A442+1,0)</f>
        <v>0</v>
      </c>
      <c r="B443">
        <f>IF('Bet Log'!M443="L",B442+1,0)</f>
        <v>0</v>
      </c>
    </row>
    <row r="444" spans="1:2" ht="15" customHeight="1" x14ac:dyDescent="0.35">
      <c r="A444">
        <f>IF('Bet Log'!M444="W",A443+1,0)</f>
        <v>0</v>
      </c>
      <c r="B444">
        <f>IF('Bet Log'!M444="L",B443+1,0)</f>
        <v>0</v>
      </c>
    </row>
    <row r="445" spans="1:2" ht="15" customHeight="1" x14ac:dyDescent="0.35">
      <c r="A445">
        <f>IF('Bet Log'!M445="W",A444+1,0)</f>
        <v>0</v>
      </c>
      <c r="B445">
        <f>IF('Bet Log'!M445="L",B444+1,0)</f>
        <v>0</v>
      </c>
    </row>
    <row r="446" spans="1:2" ht="15" customHeight="1" x14ac:dyDescent="0.35">
      <c r="A446">
        <f>IF('Bet Log'!M446="W",A445+1,0)</f>
        <v>0</v>
      </c>
      <c r="B446">
        <f>IF('Bet Log'!M446="L",B445+1,0)</f>
        <v>0</v>
      </c>
    </row>
    <row r="447" spans="1:2" ht="15" customHeight="1" x14ac:dyDescent="0.35">
      <c r="A447">
        <f>IF('Bet Log'!M447="W",A446+1,0)</f>
        <v>0</v>
      </c>
      <c r="B447">
        <f>IF('Bet Log'!M447="L",B446+1,0)</f>
        <v>0</v>
      </c>
    </row>
    <row r="448" spans="1:2" ht="15" customHeight="1" x14ac:dyDescent="0.35">
      <c r="A448">
        <f>IF('Bet Log'!M448="W",A447+1,0)</f>
        <v>0</v>
      </c>
      <c r="B448">
        <f>IF('Bet Log'!M448="L",B447+1,0)</f>
        <v>0</v>
      </c>
    </row>
    <row r="449" spans="1:2" ht="15" customHeight="1" x14ac:dyDescent="0.35">
      <c r="A449">
        <f>IF('Bet Log'!M449="W",A448+1,0)</f>
        <v>0</v>
      </c>
      <c r="B449">
        <f>IF('Bet Log'!M449="L",B448+1,0)</f>
        <v>0</v>
      </c>
    </row>
    <row r="450" spans="1:2" ht="15" customHeight="1" x14ac:dyDescent="0.35">
      <c r="A450">
        <f>IF('Bet Log'!M450="W",A449+1,0)</f>
        <v>0</v>
      </c>
      <c r="B450">
        <f>IF('Bet Log'!M450="L",B449+1,0)</f>
        <v>0</v>
      </c>
    </row>
    <row r="451" spans="1:2" ht="15" customHeight="1" x14ac:dyDescent="0.35">
      <c r="A451">
        <f>IF('Bet Log'!M451="W",A450+1,0)</f>
        <v>0</v>
      </c>
      <c r="B451">
        <f>IF('Bet Log'!M451="L",B450+1,0)</f>
        <v>0</v>
      </c>
    </row>
    <row r="452" spans="1:2" ht="15" customHeight="1" x14ac:dyDescent="0.35">
      <c r="A452">
        <f>IF('Bet Log'!M452="W",A451+1,0)</f>
        <v>0</v>
      </c>
      <c r="B452">
        <f>IF('Bet Log'!M452="L",B451+1,0)</f>
        <v>0</v>
      </c>
    </row>
    <row r="453" spans="1:2" ht="15" customHeight="1" x14ac:dyDescent="0.35">
      <c r="A453">
        <f>IF('Bet Log'!M453="W",A452+1,0)</f>
        <v>0</v>
      </c>
      <c r="B453">
        <f>IF('Bet Log'!M453="L",B452+1,0)</f>
        <v>0</v>
      </c>
    </row>
    <row r="454" spans="1:2" ht="15" customHeight="1" x14ac:dyDescent="0.35">
      <c r="A454">
        <f>IF('Bet Log'!M454="W",A453+1,0)</f>
        <v>0</v>
      </c>
      <c r="B454">
        <f>IF('Bet Log'!M454="L",B453+1,0)</f>
        <v>0</v>
      </c>
    </row>
    <row r="455" spans="1:2" ht="15" customHeight="1" x14ac:dyDescent="0.35">
      <c r="A455">
        <f>IF('Bet Log'!M455="W",A454+1,0)</f>
        <v>0</v>
      </c>
      <c r="B455">
        <f>IF('Bet Log'!M455="L",B454+1,0)</f>
        <v>0</v>
      </c>
    </row>
    <row r="456" spans="1:2" ht="15" customHeight="1" x14ac:dyDescent="0.35">
      <c r="A456">
        <f>IF('Bet Log'!M456="W",A455+1,0)</f>
        <v>0</v>
      </c>
      <c r="B456">
        <f>IF('Bet Log'!M456="L",B455+1,0)</f>
        <v>0</v>
      </c>
    </row>
    <row r="457" spans="1:2" ht="15" customHeight="1" x14ac:dyDescent="0.35">
      <c r="A457">
        <f>IF('Bet Log'!M457="W",A456+1,0)</f>
        <v>0</v>
      </c>
      <c r="B457">
        <f>IF('Bet Log'!M457="L",B456+1,0)</f>
        <v>0</v>
      </c>
    </row>
    <row r="458" spans="1:2" ht="15" customHeight="1" x14ac:dyDescent="0.35">
      <c r="A458">
        <f>IF('Bet Log'!M458="W",A457+1,0)</f>
        <v>0</v>
      </c>
      <c r="B458">
        <f>IF('Bet Log'!M458="L",B457+1,0)</f>
        <v>0</v>
      </c>
    </row>
    <row r="459" spans="1:2" ht="15" customHeight="1" x14ac:dyDescent="0.35">
      <c r="A459">
        <f>IF('Bet Log'!M459="W",A458+1,0)</f>
        <v>0</v>
      </c>
      <c r="B459">
        <f>IF('Bet Log'!M459="L",B458+1,0)</f>
        <v>0</v>
      </c>
    </row>
    <row r="460" spans="1:2" ht="15" customHeight="1" x14ac:dyDescent="0.35">
      <c r="A460">
        <f>IF('Bet Log'!M460="W",A459+1,0)</f>
        <v>0</v>
      </c>
      <c r="B460">
        <f>IF('Bet Log'!M460="L",B459+1,0)</f>
        <v>0</v>
      </c>
    </row>
    <row r="461" spans="1:2" ht="15" customHeight="1" x14ac:dyDescent="0.35">
      <c r="A461">
        <f>IF('Bet Log'!M461="W",A460+1,0)</f>
        <v>0</v>
      </c>
      <c r="B461">
        <f>IF('Bet Log'!M461="L",B460+1,0)</f>
        <v>0</v>
      </c>
    </row>
    <row r="462" spans="1:2" ht="15" customHeight="1" x14ac:dyDescent="0.35">
      <c r="A462">
        <f>IF('Bet Log'!M462="W",A461+1,0)</f>
        <v>0</v>
      </c>
      <c r="B462">
        <f>IF('Bet Log'!M462="L",B461+1,0)</f>
        <v>0</v>
      </c>
    </row>
    <row r="463" spans="1:2" ht="15" customHeight="1" x14ac:dyDescent="0.35">
      <c r="A463">
        <f>IF('Bet Log'!M463="W",A462+1,0)</f>
        <v>0</v>
      </c>
      <c r="B463">
        <f>IF('Bet Log'!M463="L",B462+1,0)</f>
        <v>0</v>
      </c>
    </row>
    <row r="464" spans="1:2" ht="15" customHeight="1" x14ac:dyDescent="0.35">
      <c r="A464">
        <f>IF('Bet Log'!M464="W",A463+1,0)</f>
        <v>0</v>
      </c>
      <c r="B464">
        <f>IF('Bet Log'!M464="L",B463+1,0)</f>
        <v>0</v>
      </c>
    </row>
    <row r="465" spans="1:2" ht="15" customHeight="1" x14ac:dyDescent="0.35">
      <c r="A465">
        <f>IF('Bet Log'!M465="W",A464+1,0)</f>
        <v>0</v>
      </c>
      <c r="B465">
        <f>IF('Bet Log'!M465="L",B464+1,0)</f>
        <v>0</v>
      </c>
    </row>
    <row r="466" spans="1:2" ht="15" customHeight="1" x14ac:dyDescent="0.35">
      <c r="A466">
        <f>IF('Bet Log'!M466="W",A465+1,0)</f>
        <v>0</v>
      </c>
      <c r="B466">
        <f>IF('Bet Log'!M466="L",B465+1,0)</f>
        <v>0</v>
      </c>
    </row>
    <row r="467" spans="1:2" ht="15" customHeight="1" x14ac:dyDescent="0.35">
      <c r="A467">
        <f>IF('Bet Log'!M467="W",A466+1,0)</f>
        <v>0</v>
      </c>
      <c r="B467">
        <f>IF('Bet Log'!M467="L",B466+1,0)</f>
        <v>0</v>
      </c>
    </row>
    <row r="468" spans="1:2" ht="15" customHeight="1" x14ac:dyDescent="0.35">
      <c r="A468">
        <f>IF('Bet Log'!M468="W",A467+1,0)</f>
        <v>0</v>
      </c>
      <c r="B468">
        <f>IF('Bet Log'!M468="L",B467+1,0)</f>
        <v>0</v>
      </c>
    </row>
    <row r="469" spans="1:2" ht="15" customHeight="1" x14ac:dyDescent="0.35">
      <c r="A469">
        <f>IF('Bet Log'!M469="W",A468+1,0)</f>
        <v>0</v>
      </c>
      <c r="B469">
        <f>IF('Bet Log'!M469="L",B468+1,0)</f>
        <v>0</v>
      </c>
    </row>
    <row r="470" spans="1:2" ht="15" customHeight="1" x14ac:dyDescent="0.35">
      <c r="A470">
        <f>IF('Bet Log'!M470="W",A469+1,0)</f>
        <v>0</v>
      </c>
      <c r="B470">
        <f>IF('Bet Log'!M470="L",B469+1,0)</f>
        <v>0</v>
      </c>
    </row>
    <row r="471" spans="1:2" ht="15" customHeight="1" x14ac:dyDescent="0.35">
      <c r="A471">
        <f>IF('Bet Log'!M471="W",A470+1,0)</f>
        <v>0</v>
      </c>
      <c r="B471">
        <f>IF('Bet Log'!M471="L",B470+1,0)</f>
        <v>0</v>
      </c>
    </row>
    <row r="472" spans="1:2" ht="15" customHeight="1" x14ac:dyDescent="0.35">
      <c r="A472">
        <f>IF('Bet Log'!M472="W",A471+1,0)</f>
        <v>0</v>
      </c>
      <c r="B472">
        <f>IF('Bet Log'!M472="L",B471+1,0)</f>
        <v>0</v>
      </c>
    </row>
    <row r="473" spans="1:2" ht="15" customHeight="1" x14ac:dyDescent="0.35">
      <c r="A473">
        <f>IF('Bet Log'!M473="W",A472+1,0)</f>
        <v>0</v>
      </c>
      <c r="B473">
        <f>IF('Bet Log'!M473="L",B472+1,0)</f>
        <v>0</v>
      </c>
    </row>
    <row r="474" spans="1:2" ht="15" customHeight="1" x14ac:dyDescent="0.35">
      <c r="A474">
        <f>IF('Bet Log'!M474="W",A473+1,0)</f>
        <v>0</v>
      </c>
      <c r="B474">
        <f>IF('Bet Log'!M474="L",B473+1,0)</f>
        <v>0</v>
      </c>
    </row>
    <row r="475" spans="1:2" ht="15" customHeight="1" x14ac:dyDescent="0.35">
      <c r="A475">
        <f>IF('Bet Log'!M475="W",A474+1,0)</f>
        <v>0</v>
      </c>
      <c r="B475">
        <f>IF('Bet Log'!M475="L",B474+1,0)</f>
        <v>0</v>
      </c>
    </row>
    <row r="476" spans="1:2" ht="15" customHeight="1" x14ac:dyDescent="0.35">
      <c r="A476">
        <f>IF('Bet Log'!M476="W",A475+1,0)</f>
        <v>0</v>
      </c>
      <c r="B476">
        <f>IF('Bet Log'!M476="L",B475+1,0)</f>
        <v>0</v>
      </c>
    </row>
    <row r="477" spans="1:2" ht="15" customHeight="1" x14ac:dyDescent="0.35">
      <c r="A477">
        <f>IF('Bet Log'!M477="W",A476+1,0)</f>
        <v>0</v>
      </c>
      <c r="B477">
        <f>IF('Bet Log'!M477="L",B476+1,0)</f>
        <v>0</v>
      </c>
    </row>
    <row r="478" spans="1:2" ht="15" customHeight="1" x14ac:dyDescent="0.35">
      <c r="A478">
        <f>IF('Bet Log'!M478="W",A477+1,0)</f>
        <v>0</v>
      </c>
      <c r="B478">
        <f>IF('Bet Log'!M478="L",B477+1,0)</f>
        <v>0</v>
      </c>
    </row>
    <row r="479" spans="1:2" ht="15" customHeight="1" x14ac:dyDescent="0.35">
      <c r="A479">
        <f>IF('Bet Log'!M479="W",A478+1,0)</f>
        <v>0</v>
      </c>
      <c r="B479">
        <f>IF('Bet Log'!M479="L",B478+1,0)</f>
        <v>0</v>
      </c>
    </row>
    <row r="480" spans="1:2" ht="15" customHeight="1" x14ac:dyDescent="0.35">
      <c r="A480">
        <f>IF('Bet Log'!M480="W",A479+1,0)</f>
        <v>0</v>
      </c>
      <c r="B480">
        <f>IF('Bet Log'!M480="L",B479+1,0)</f>
        <v>0</v>
      </c>
    </row>
    <row r="481" spans="1:2" ht="15" customHeight="1" x14ac:dyDescent="0.35">
      <c r="A481">
        <f>IF('Bet Log'!M481="W",A480+1,0)</f>
        <v>0</v>
      </c>
      <c r="B481">
        <f>IF('Bet Log'!M481="L",B480+1,0)</f>
        <v>0</v>
      </c>
    </row>
    <row r="482" spans="1:2" ht="15" customHeight="1" x14ac:dyDescent="0.35">
      <c r="A482">
        <f>IF('Bet Log'!M482="W",A481+1,0)</f>
        <v>0</v>
      </c>
      <c r="B482">
        <f>IF('Bet Log'!M482="L",B481+1,0)</f>
        <v>0</v>
      </c>
    </row>
    <row r="483" spans="1:2" ht="15" customHeight="1" x14ac:dyDescent="0.35">
      <c r="A483">
        <f>IF('Bet Log'!M483="W",A482+1,0)</f>
        <v>0</v>
      </c>
      <c r="B483">
        <f>IF('Bet Log'!M483="L",B482+1,0)</f>
        <v>0</v>
      </c>
    </row>
    <row r="484" spans="1:2" ht="15" customHeight="1" x14ac:dyDescent="0.35">
      <c r="A484">
        <f>IF('Bet Log'!M484="W",A483+1,0)</f>
        <v>0</v>
      </c>
      <c r="B484">
        <f>IF('Bet Log'!M484="L",B483+1,0)</f>
        <v>0</v>
      </c>
    </row>
    <row r="485" spans="1:2" ht="15" customHeight="1" x14ac:dyDescent="0.35">
      <c r="A485">
        <f>IF('Bet Log'!M485="W",A484+1,0)</f>
        <v>0</v>
      </c>
      <c r="B485">
        <f>IF('Bet Log'!M485="L",B484+1,0)</f>
        <v>0</v>
      </c>
    </row>
    <row r="486" spans="1:2" ht="15" customHeight="1" x14ac:dyDescent="0.35">
      <c r="A486">
        <f>IF('Bet Log'!M486="W",A485+1,0)</f>
        <v>0</v>
      </c>
      <c r="B486">
        <f>IF('Bet Log'!M486="L",B485+1,0)</f>
        <v>0</v>
      </c>
    </row>
    <row r="487" spans="1:2" ht="15" customHeight="1" x14ac:dyDescent="0.35">
      <c r="A487">
        <f>IF('Bet Log'!M487="W",A486+1,0)</f>
        <v>0</v>
      </c>
      <c r="B487">
        <f>IF('Bet Log'!M487="L",B486+1,0)</f>
        <v>0</v>
      </c>
    </row>
    <row r="488" spans="1:2" ht="15" customHeight="1" x14ac:dyDescent="0.35">
      <c r="A488">
        <f>IF('Bet Log'!M488="W",A487+1,0)</f>
        <v>0</v>
      </c>
      <c r="B488">
        <f>IF('Bet Log'!M488="L",B487+1,0)</f>
        <v>0</v>
      </c>
    </row>
    <row r="489" spans="1:2" ht="15" customHeight="1" x14ac:dyDescent="0.35">
      <c r="A489">
        <f>IF('Bet Log'!M489="W",A488+1,0)</f>
        <v>0</v>
      </c>
      <c r="B489">
        <f>IF('Bet Log'!M489="L",B488+1,0)</f>
        <v>0</v>
      </c>
    </row>
    <row r="490" spans="1:2" ht="15" customHeight="1" x14ac:dyDescent="0.35">
      <c r="A490">
        <f>IF('Bet Log'!M490="W",A489+1,0)</f>
        <v>0</v>
      </c>
      <c r="B490">
        <f>IF('Bet Log'!M490="L",B489+1,0)</f>
        <v>0</v>
      </c>
    </row>
    <row r="491" spans="1:2" ht="15" customHeight="1" x14ac:dyDescent="0.35">
      <c r="A491">
        <f>IF('Bet Log'!M491="W",A490+1,0)</f>
        <v>0</v>
      </c>
      <c r="B491">
        <f>IF('Bet Log'!M491="L",B490+1,0)</f>
        <v>0</v>
      </c>
    </row>
    <row r="492" spans="1:2" ht="15" customHeight="1" x14ac:dyDescent="0.35">
      <c r="A492">
        <f>IF('Bet Log'!M492="W",A491+1,0)</f>
        <v>0</v>
      </c>
      <c r="B492">
        <f>IF('Bet Log'!M492="L",B491+1,0)</f>
        <v>0</v>
      </c>
    </row>
    <row r="493" spans="1:2" ht="15" customHeight="1" x14ac:dyDescent="0.35">
      <c r="A493">
        <f>IF('Bet Log'!M493="W",A492+1,0)</f>
        <v>0</v>
      </c>
      <c r="B493">
        <f>IF('Bet Log'!M493="L",B492+1,0)</f>
        <v>0</v>
      </c>
    </row>
    <row r="494" spans="1:2" ht="15" customHeight="1" x14ac:dyDescent="0.35">
      <c r="A494">
        <f>IF('Bet Log'!M494="W",A493+1,0)</f>
        <v>0</v>
      </c>
      <c r="B494">
        <f>IF('Bet Log'!M494="L",B493+1,0)</f>
        <v>0</v>
      </c>
    </row>
    <row r="495" spans="1:2" ht="15" customHeight="1" x14ac:dyDescent="0.35">
      <c r="A495">
        <f>IF('Bet Log'!M495="W",A494+1,0)</f>
        <v>0</v>
      </c>
      <c r="B495">
        <f>IF('Bet Log'!M495="L",B494+1,0)</f>
        <v>0</v>
      </c>
    </row>
    <row r="496" spans="1:2" ht="15" customHeight="1" x14ac:dyDescent="0.35">
      <c r="A496">
        <f>IF('Bet Log'!M496="W",A495+1,0)</f>
        <v>0</v>
      </c>
      <c r="B496">
        <f>IF('Bet Log'!M496="L",B495+1,0)</f>
        <v>0</v>
      </c>
    </row>
    <row r="497" spans="1:2" ht="15" customHeight="1" x14ac:dyDescent="0.35">
      <c r="A497">
        <f>IF('Bet Log'!M497="W",A496+1,0)</f>
        <v>0</v>
      </c>
      <c r="B497">
        <f>IF('Bet Log'!M497="L",B496+1,0)</f>
        <v>0</v>
      </c>
    </row>
    <row r="498" spans="1:2" ht="15" customHeight="1" x14ac:dyDescent="0.35">
      <c r="A498">
        <f>IF('Bet Log'!M498="W",A497+1,0)</f>
        <v>0</v>
      </c>
      <c r="B498">
        <f>IF('Bet Log'!M498="L",B497+1,0)</f>
        <v>0</v>
      </c>
    </row>
    <row r="499" spans="1:2" ht="15" customHeight="1" x14ac:dyDescent="0.35">
      <c r="A499">
        <f>IF('Bet Log'!M499="W",A498+1,0)</f>
        <v>0</v>
      </c>
      <c r="B499">
        <f>IF('Bet Log'!M499="L",B498+1,0)</f>
        <v>0</v>
      </c>
    </row>
    <row r="500" spans="1:2" ht="15" customHeight="1" x14ac:dyDescent="0.35">
      <c r="A500">
        <f>IF('Bet Log'!M500="W",A499+1,0)</f>
        <v>0</v>
      </c>
      <c r="B500">
        <f>IF('Bet Log'!M500="L",B499+1,0)</f>
        <v>0</v>
      </c>
    </row>
    <row r="501" spans="1:2" ht="15" customHeight="1" x14ac:dyDescent="0.35">
      <c r="A501">
        <f>IF('Bet Log'!M501="W",A500+1,0)</f>
        <v>0</v>
      </c>
      <c r="B501">
        <f>IF('Bet Log'!M501="L",B500+1,0)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Bet Log</vt:lpstr>
      <vt:lpstr>Analytics</vt:lpstr>
      <vt:lpstr>Streaks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Kevin Suero</cp:lastModifiedBy>
  <cp:revision>0</cp:revision>
  <dcterms:created xsi:type="dcterms:W3CDTF">2026-02-22T20:31:14Z</dcterms:created>
  <dcterms:modified xsi:type="dcterms:W3CDTF">2026-02-23T15:37:36Z</dcterms:modified>
  <dc:language>en-US</dc:language>
</cp:coreProperties>
</file>